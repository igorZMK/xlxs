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" sheetId="1" r:id="rId4"/>
    <sheet state="visible" name="Developer" sheetId="2" r:id="rId5"/>
    <sheet state="visible" name="Sell" sheetId="3" r:id="rId6"/>
  </sheets>
  <definedNames>
    <definedName localSheetId="2" name="ExternalData_1">Sell!$A$1:$E$101</definedName>
    <definedName localSheetId="1" name="ExternalData_1">Developer!$A$1:$C$51</definedName>
  </definedNames>
  <calcPr/>
</workbook>
</file>

<file path=xl/sharedStrings.xml><?xml version="1.0" encoding="utf-8"?>
<sst xmlns="http://schemas.openxmlformats.org/spreadsheetml/2006/main" count="465" uniqueCount="264">
  <si>
    <t>GoodName</t>
  </si>
  <si>
    <t>GoodId</t>
  </si>
  <si>
    <t>MainPhoto</t>
  </si>
  <si>
    <t>Developer</t>
  </si>
  <si>
    <t>DeveloperId</t>
  </si>
  <si>
    <t>Active</t>
  </si>
  <si>
    <t>Price</t>
  </si>
  <si>
    <t>Super Minds. Level 4. Workbook with Online Resources</t>
  </si>
  <si>
    <t>701132.jpg</t>
  </si>
  <si>
    <t>Cambridge</t>
  </si>
  <si>
    <t>Super Minds. Workbook 2 with Online Resources</t>
  </si>
  <si>
    <t>701128.jpg</t>
  </si>
  <si>
    <t>Eyes Open. Level 3. Student's Book</t>
  </si>
  <si>
    <t>700890.jpg</t>
  </si>
  <si>
    <t>Advanced Grammar in Use. Book without Answers</t>
  </si>
  <si>
    <t>700673.jpg</t>
  </si>
  <si>
    <t>Английский на каждый день</t>
  </si>
  <si>
    <t>698477.jpg</t>
  </si>
  <si>
    <t>АСТ</t>
  </si>
  <si>
    <t>English for Everyone. English Vocabulary Builder</t>
  </si>
  <si>
    <t>715802.jpg</t>
  </si>
  <si>
    <t>Dorling Kindersley</t>
  </si>
  <si>
    <t>Cracking GMAT Premium 2020 Edition. 6 Practice Tests</t>
  </si>
  <si>
    <t>724652.jpg</t>
  </si>
  <si>
    <t>Princeton Review</t>
  </si>
  <si>
    <t>Учебник английского языка. Полный курс</t>
  </si>
  <si>
    <t>729944.jpg</t>
  </si>
  <si>
    <t>Эксмо</t>
  </si>
  <si>
    <t>Английский без страха для тех, кому за...</t>
  </si>
  <si>
    <t>720888.jpg</t>
  </si>
  <si>
    <t>Grammarway 2. Teacher's Book. Elementary</t>
  </si>
  <si>
    <t>702075.jpg</t>
  </si>
  <si>
    <t>Express Publishing</t>
  </si>
  <si>
    <t>Tree or Three? An elementary pronunciation course</t>
  </si>
  <si>
    <t>701141.jpg</t>
  </si>
  <si>
    <t>Prism Reading. Intro. Student's Book</t>
  </si>
  <si>
    <t>699858.jpg</t>
  </si>
  <si>
    <t>Think. Level 3. B1+. Student's Book</t>
  </si>
  <si>
    <t>701135.jpg</t>
  </si>
  <si>
    <t>Учим английский язык с енотами-полиглотами</t>
  </si>
  <si>
    <t>724934.jpg</t>
  </si>
  <si>
    <t>Super Minds. Workbook 1 with Online Resources</t>
  </si>
  <si>
    <t>701125.jpg</t>
  </si>
  <si>
    <t>Говори как английская королева. The Queen's English and how to use it</t>
  </si>
  <si>
    <t>699791.jpg</t>
  </si>
  <si>
    <t>Dive in! Blue</t>
  </si>
  <si>
    <t>729198.jpg</t>
  </si>
  <si>
    <t>Delta Publishing</t>
  </si>
  <si>
    <t>Вся грамматика английского языка в таблицах. Учебное пособие</t>
  </si>
  <si>
    <t>716788.jpg</t>
  </si>
  <si>
    <t>Флинта</t>
  </si>
  <si>
    <t>New Enterprise A2. Workbook with digibook app</t>
  </si>
  <si>
    <t>701884.jpg</t>
  </si>
  <si>
    <t>Eyes Open Level 1 Student's Book</t>
  </si>
  <si>
    <t>700889.jpg</t>
  </si>
  <si>
    <t>Английский язык. Популярный иллюстрированный самоучитель</t>
  </si>
  <si>
    <t>726891.jpg</t>
  </si>
  <si>
    <t>Grammarway 1. Book with Answers. Beginner</t>
  </si>
  <si>
    <t>702074.jpg</t>
  </si>
  <si>
    <t>Business Vocabulary in Use. Advanced. Book with Answers</t>
  </si>
  <si>
    <t>700674.jpg</t>
  </si>
  <si>
    <t>Разговорный английский в диалогах. Учебное пособие</t>
  </si>
  <si>
    <t>730838.jpg</t>
  </si>
  <si>
    <t>Кнорус</t>
  </si>
  <si>
    <t>Английский без барьеров. For beginners</t>
  </si>
  <si>
    <t>722958.jpg</t>
  </si>
  <si>
    <t>Питер</t>
  </si>
  <si>
    <t>Pocket English Grammar (Карманная грамматика английского языка). Справочное пособие</t>
  </si>
  <si>
    <t>690825.jpg</t>
  </si>
  <si>
    <t>ИНФРА-М</t>
  </si>
  <si>
    <t>Evolve. Level 1. Student's Book</t>
  </si>
  <si>
    <t>702640.jpg</t>
  </si>
  <si>
    <t>Реальный English. Как подружиться с грамматикой раз и навсегда</t>
  </si>
  <si>
    <t>704508.jpg</t>
  </si>
  <si>
    <t>Феникс</t>
  </si>
  <si>
    <t>English Vocabulary in Use. Advanced. Book with Answers</t>
  </si>
  <si>
    <t>700703.jpg</t>
  </si>
  <si>
    <t>Быстрый английский. Тренажер по чтению</t>
  </si>
  <si>
    <t>715170.jpg</t>
  </si>
  <si>
    <t>Деловой английский язык. (Бакалавриат и магистратура). Учебное пособие</t>
  </si>
  <si>
    <t>712853.jpg</t>
  </si>
  <si>
    <t>Английский язык. Самые нужные правила</t>
  </si>
  <si>
    <t>729858.jpg</t>
  </si>
  <si>
    <t>Legal English. Английский язык для юристов. Учебник</t>
  </si>
  <si>
    <t>707289.jpg</t>
  </si>
  <si>
    <t>OK English! Все правила английского языка с упражнениями</t>
  </si>
  <si>
    <t>694544.jpg</t>
  </si>
  <si>
    <t>Dive in! Orange</t>
  </si>
  <si>
    <t>729200.jpg</t>
  </si>
  <si>
    <t>Английская грамматика. Просто и понятно: правила, модели, упражнения. Учебное пособие</t>
  </si>
  <si>
    <t>716808.jpg</t>
  </si>
  <si>
    <t>Прометей</t>
  </si>
  <si>
    <t>Grammar in Use. Intermediate. Student's Book without Answers</t>
  </si>
  <si>
    <t>700903.jpg</t>
  </si>
  <si>
    <t>Современная английская грамматика в таблицах</t>
  </si>
  <si>
    <t>721525.jpg</t>
  </si>
  <si>
    <t>Эксмо-Пресс</t>
  </si>
  <si>
    <t>Everyday Vocabulary + Grammar. For Intermediate Students. Учебное пособие</t>
  </si>
  <si>
    <t>722745.jpg</t>
  </si>
  <si>
    <t>Антология</t>
  </si>
  <si>
    <t>English for Everyone. English Idioms</t>
  </si>
  <si>
    <t>715801.jpg</t>
  </si>
  <si>
    <t>Вся грамматика английского языка. Теория и практика</t>
  </si>
  <si>
    <t>724335.jpg</t>
  </si>
  <si>
    <t>Говорим по-английски</t>
  </si>
  <si>
    <t>706297.jpg</t>
  </si>
  <si>
    <t>Виват</t>
  </si>
  <si>
    <t>Business Vocabulary in Use. Intermediate. Book with Answers and Enhanced ebook</t>
  </si>
  <si>
    <t>700676.jpg</t>
  </si>
  <si>
    <t>Безупречная английская грамматика. Простые правила и увлекательные тесты</t>
  </si>
  <si>
    <t>723769.jpg</t>
  </si>
  <si>
    <t>Exam Booster For Advanced Without Ans Key + Audio</t>
  </si>
  <si>
    <t>714676.jpg</t>
  </si>
  <si>
    <t>Grammar in Use. Intermediate. Student's Book with Answers and Interactive eBook</t>
  </si>
  <si>
    <t>700900.jpg</t>
  </si>
  <si>
    <t>Английская грамматика в схемах и таблицах</t>
  </si>
  <si>
    <t>713804.jpg</t>
  </si>
  <si>
    <t>Английский язык. Тренажер по чтению</t>
  </si>
  <si>
    <t>710082.jpg</t>
  </si>
  <si>
    <t>Английский язык для технических специальностей. Учебное пособие</t>
  </si>
  <si>
    <t>730048.jpg</t>
  </si>
  <si>
    <t>Интенсивный английский 4 в 1: говорим, читаем, пишем, слушаем</t>
  </si>
  <si>
    <t>716807.jpg</t>
  </si>
  <si>
    <t>Английские пословицы и поговорки. Учебное пособие</t>
  </si>
  <si>
    <t>714143.jpg</t>
  </si>
  <si>
    <t>Super Minds. Level 3. Workbook with Online Resources</t>
  </si>
  <si>
    <t>701130.jpg</t>
  </si>
  <si>
    <t>Английский язык. Времена глаголов</t>
  </si>
  <si>
    <t>710081.jpg</t>
  </si>
  <si>
    <t>Английский курсив: прописи</t>
  </si>
  <si>
    <t>715875.jpg</t>
  </si>
  <si>
    <t>Яуза</t>
  </si>
  <si>
    <t>Английский язык. Фразовые глаголы</t>
  </si>
  <si>
    <t>710083.jpg</t>
  </si>
  <si>
    <t>English for Beginners: Everyday English</t>
  </si>
  <si>
    <t>693086.jpg</t>
  </si>
  <si>
    <t>Ladybird</t>
  </si>
  <si>
    <t>Курс английской разговорной речи. Учебное пособие</t>
  </si>
  <si>
    <t>722820.jpg</t>
  </si>
  <si>
    <t>New Enterprise A2 Student's Book with DigiBooks App</t>
  </si>
  <si>
    <t>701882.jpg</t>
  </si>
  <si>
    <t>Business Vocabulary in Use. Advanced. Book with Answers and Enhanced ebook</t>
  </si>
  <si>
    <t>700675.jpg</t>
  </si>
  <si>
    <t>Prepare. Level 2. Student's Book</t>
  </si>
  <si>
    <t>701088.jpg</t>
  </si>
  <si>
    <t>Your Space Level 2 Student's Book</t>
  </si>
  <si>
    <t>701151.jpg</t>
  </si>
  <si>
    <t>Вся английская грамматика в схемах и таблицах</t>
  </si>
  <si>
    <t>729025.jpg</t>
  </si>
  <si>
    <t>Dive in! Green</t>
  </si>
  <si>
    <t>729199.jpg</t>
  </si>
  <si>
    <t>English Grammar Today Book with Workbook</t>
  </si>
  <si>
    <t>700707.jpg</t>
  </si>
  <si>
    <t>Разговорная грамматика английского языка</t>
  </si>
  <si>
    <t>725306.jpg</t>
  </si>
  <si>
    <t>Think. Level 3. B1+. Workbook with Online Practice</t>
  </si>
  <si>
    <t>701138.jpg</t>
  </si>
  <si>
    <t>Английский язык за 3 месяца. Быстрый восстановитель знаний</t>
  </si>
  <si>
    <t>714131.jpg</t>
  </si>
  <si>
    <t>Prepare. Level 4. B1. Student's Book</t>
  </si>
  <si>
    <t>701097.jpg</t>
  </si>
  <si>
    <t>Английский язык. Идиомы (полезные карточки)</t>
  </si>
  <si>
    <t>729857.jpg</t>
  </si>
  <si>
    <t>Английский язык. Все времена и глаголы в схемах и таблицах</t>
  </si>
  <si>
    <t>729495.jpg</t>
  </si>
  <si>
    <t>Английский с нуля. Учебное пособие</t>
  </si>
  <si>
    <t>716806.jpg</t>
  </si>
  <si>
    <t>English Vocabulary in Use. Elementary. Book with Answers and Enhanced eBook</t>
  </si>
  <si>
    <t>700704.jpg</t>
  </si>
  <si>
    <t>Каллиграфия. Английский курсив. Самоучитель</t>
  </si>
  <si>
    <t>721737.jpg</t>
  </si>
  <si>
    <t>Ship or Sheep? An intermediate pronunciation course</t>
  </si>
  <si>
    <t>701112.jpg</t>
  </si>
  <si>
    <t>Eyes Open. Level 3. Workbook with Online Practice</t>
  </si>
  <si>
    <t>700891.jpg</t>
  </si>
  <si>
    <t>New Enterprise A2 - Grammar Book (with Digibooks App)</t>
  </si>
  <si>
    <t>701883.jpg</t>
  </si>
  <si>
    <t>Cracking the GRE Premium Edition with 6 Practice Tests, 2020</t>
  </si>
  <si>
    <t>730252.jpg</t>
  </si>
  <si>
    <t>Prepare. Level 5. B1. Student's Book</t>
  </si>
  <si>
    <t>701098.jpg</t>
  </si>
  <si>
    <t>Английский язык для менеджеров. Учебное пособие</t>
  </si>
  <si>
    <t>693032.jpg</t>
  </si>
  <si>
    <t>Учебник английского языка. Часть 2</t>
  </si>
  <si>
    <t>717996.jpg</t>
  </si>
  <si>
    <t>Быстрый английский для начинающих</t>
  </si>
  <si>
    <t>714137.jpg</t>
  </si>
  <si>
    <t>Prepare. Level 3. A2. Student's Book</t>
  </si>
  <si>
    <t>701094.jpg</t>
  </si>
  <si>
    <t>Тренажер по чтению. Самый быстрый способ выучить английский язык</t>
  </si>
  <si>
    <t>718058.jpg</t>
  </si>
  <si>
    <t>English Vocabulary in Use. Upper-Intermediate. Book with Answers</t>
  </si>
  <si>
    <t>700705.jpg</t>
  </si>
  <si>
    <t>Professional English for PR Students: People and Society</t>
  </si>
  <si>
    <t>716803.jpg</t>
  </si>
  <si>
    <t>Английский язык. Идиомы</t>
  </si>
  <si>
    <t>713805.jpg</t>
  </si>
  <si>
    <t>Elementary Vocabulary + Grammar. Foe Beginners and Pre-Intermediate Students. Учебное пособие</t>
  </si>
  <si>
    <t>731489.jpg</t>
  </si>
  <si>
    <t>Самый быстрый способ выучить неправильные английские глаголы</t>
  </si>
  <si>
    <t>718057.jpg</t>
  </si>
  <si>
    <t>English Grammar in Use. Book without Answers</t>
  </si>
  <si>
    <t>700691.jpg</t>
  </si>
  <si>
    <t>Английская грамматика. Самое важное. Учебное пособие (мини)</t>
  </si>
  <si>
    <t>726085.jpg</t>
  </si>
  <si>
    <t>Проспект</t>
  </si>
  <si>
    <t>Grammar in Use Intermediate Student's Book with Answers Self-study Reference and Practice</t>
  </si>
  <si>
    <t>700901.jpg</t>
  </si>
  <si>
    <t>English Grammar in Use. Book with Answers</t>
  </si>
  <si>
    <t>700689.jpg</t>
  </si>
  <si>
    <t>Английский для малышей и мам @my_english_baby. Как воспитать билингвального ребенка</t>
  </si>
  <si>
    <t>718408.jpg</t>
  </si>
  <si>
    <t>Грамматический профиль. Grammar Profile. Учебное пособие</t>
  </si>
  <si>
    <t>710904.jpg</t>
  </si>
  <si>
    <t>Английский язык на пальцах</t>
  </si>
  <si>
    <t>712495.jpg</t>
  </si>
  <si>
    <t>Prepare. Level 2. A2. Workbook with Audio Download</t>
  </si>
  <si>
    <t>701093.jpg</t>
  </si>
  <si>
    <t>Учебник английского языка. Часть 1</t>
  </si>
  <si>
    <t>713136.jpg</t>
  </si>
  <si>
    <t>Грамматика английского языка. Просто и доступно. Учебное пособие</t>
  </si>
  <si>
    <t>696499.jpg</t>
  </si>
  <si>
    <t>Безупречный английский. Самоучитель для начинающих</t>
  </si>
  <si>
    <t>727495.jpg</t>
  </si>
  <si>
    <t>Your Space. Level 1. Student's Book</t>
  </si>
  <si>
    <t>701149.jpg</t>
  </si>
  <si>
    <t>DeveloperName</t>
  </si>
  <si>
    <t>DateBeginWork</t>
  </si>
  <si>
    <t>DeceloperId</t>
  </si>
  <si>
    <t>Аванта+</t>
  </si>
  <si>
    <t>Розовый жираф</t>
  </si>
  <si>
    <t>Стандарт-Коллекция</t>
  </si>
  <si>
    <t>Медиарама</t>
  </si>
  <si>
    <t>Вагриус</t>
  </si>
  <si>
    <t>Академкнига</t>
  </si>
  <si>
    <t>Прогресс</t>
  </si>
  <si>
    <t>Возвращение</t>
  </si>
  <si>
    <t>ЛитРес</t>
  </si>
  <si>
    <t>Матезис</t>
  </si>
  <si>
    <t>Gallimard</t>
  </si>
  <si>
    <t>Современник</t>
  </si>
  <si>
    <t>Алгоритм</t>
  </si>
  <si>
    <t>Росмэн</t>
  </si>
  <si>
    <t>Просвещение</t>
  </si>
  <si>
    <t>Мир хобби</t>
  </si>
  <si>
    <t>Попурри</t>
  </si>
  <si>
    <t>Абрис</t>
  </si>
  <si>
    <t>Де Агостини</t>
  </si>
  <si>
    <t>Весь мир</t>
  </si>
  <si>
    <t>Велес-ВА</t>
  </si>
  <si>
    <t>Дрофа</t>
  </si>
  <si>
    <t>Аврора</t>
  </si>
  <si>
    <t>Планета</t>
  </si>
  <si>
    <t>Вита Нова</t>
  </si>
  <si>
    <t>РОССПЭН</t>
  </si>
  <si>
    <t>Мир</t>
  </si>
  <si>
    <t>Росток</t>
  </si>
  <si>
    <t>Вита-Пресс</t>
  </si>
  <si>
    <t>Литературная Россия</t>
  </si>
  <si>
    <t>Академический проект</t>
  </si>
  <si>
    <t>ID</t>
  </si>
  <si>
    <t>Товар</t>
  </si>
  <si>
    <t>Count</t>
  </si>
  <si>
    <t>DateSell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</si>
</sst>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4" xfId="0" applyFont="1" applyNumberFormat="1"/>
    <xf borderId="0" fillId="0" fontId="2" numFmtId="0" xfId="0" applyFont="1"/>
    <xf borderId="0" fillId="0" fontId="2" numFmtId="14" xfId="0" applyFont="1" applyNumberFormat="1"/>
    <xf borderId="0" fillId="0" fontId="2" numFmtId="2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2">
    <tableStyle count="3" pivot="0" name="Developer-style">
      <tableStyleElement dxfId="1" type="headerRow"/>
      <tableStyleElement dxfId="2" type="firstRowStripe"/>
      <tableStyleElement dxfId="3" type="secondRowStripe"/>
    </tableStyle>
    <tableStyle count="3" pivot="0" name="Sel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1" displayName="Table_1" id="1">
  <tableColumns count="3">
    <tableColumn name="DeveloperName" id="1"/>
    <tableColumn name="DateBeginWork" id="2"/>
    <tableColumn name="DeceloperId" id="3"/>
  </tableColumns>
  <tableStyleInfo name="Developer-style" showColumnStripes="0" showFirstColumn="1" showLastColumn="1" showRowStripes="1"/>
</table>
</file>

<file path=xl/tables/table2.xml><?xml version="1.0" encoding="utf-8"?>
<table xmlns="http://schemas.openxmlformats.org/spreadsheetml/2006/main" ref="A1:E101" displayName="Table_2" id="2">
  <tableColumns count="5">
    <tableColumn name="ID" id="1"/>
    <tableColumn name="Товар" id="2"/>
    <tableColumn name="GoodId" id="3"/>
    <tableColumn name="Count" id="4"/>
    <tableColumn name="DateSell" id="5"/>
  </tableColumns>
  <tableStyleInfo name="Se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7.14"/>
    <col customWidth="1" min="3" max="3" width="25.57"/>
    <col customWidth="1" min="4" max="4" width="18.14"/>
    <col customWidth="1" min="5" max="5" width="12.0"/>
    <col customWidth="1" min="6" max="6" width="11.43"/>
    <col customWidth="1" min="7" max="9" width="8.71"/>
    <col customWidth="1" min="10" max="10" width="22.71"/>
    <col customWidth="1" min="11" max="11" width="17.43"/>
    <col customWidth="1" min="12" max="12" width="14.14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  <c r="K1" s="2"/>
      <c r="L1" s="2"/>
    </row>
    <row r="2">
      <c r="A2" s="3" t="s">
        <v>7</v>
      </c>
      <c r="B2" s="3">
        <v>1.0</v>
      </c>
      <c r="C2" s="3" t="s">
        <v>8</v>
      </c>
      <c r="D2" s="3" t="s">
        <v>9</v>
      </c>
      <c r="E2" s="3">
        <f>VLOOKUP(D2,Developer!$A$1:$C$51,3,0)</f>
        <v>38</v>
      </c>
      <c r="F2" s="3">
        <v>0.0</v>
      </c>
      <c r="G2" s="3">
        <v>1210.0</v>
      </c>
      <c r="J2" s="2"/>
      <c r="K2" s="4"/>
      <c r="L2" s="2"/>
    </row>
    <row r="3">
      <c r="A3" s="3" t="s">
        <v>10</v>
      </c>
      <c r="B3" s="3">
        <v>2.0</v>
      </c>
      <c r="C3" s="3" t="s">
        <v>11</v>
      </c>
      <c r="D3" s="3" t="s">
        <v>9</v>
      </c>
      <c r="E3" s="3">
        <f>VLOOKUP(D3,Developer!$A$1:$C$51,3,0)</f>
        <v>38</v>
      </c>
      <c r="F3" s="3">
        <v>1.0</v>
      </c>
      <c r="G3" s="3">
        <v>1200.0</v>
      </c>
      <c r="J3" s="2"/>
      <c r="K3" s="4"/>
      <c r="L3" s="2"/>
    </row>
    <row r="4">
      <c r="A4" s="3" t="s">
        <v>12</v>
      </c>
      <c r="B4" s="3">
        <v>3.0</v>
      </c>
      <c r="C4" s="3" t="s">
        <v>13</v>
      </c>
      <c r="D4" s="3" t="s">
        <v>9</v>
      </c>
      <c r="E4" s="3">
        <f>VLOOKUP(D4,Developer!$A$1:$C$51,3,0)</f>
        <v>38</v>
      </c>
      <c r="F4" s="3">
        <v>1.0</v>
      </c>
      <c r="G4" s="3">
        <v>1350.0</v>
      </c>
      <c r="J4" s="2"/>
      <c r="K4" s="4"/>
      <c r="L4" s="2"/>
    </row>
    <row r="5">
      <c r="A5" s="3" t="s">
        <v>14</v>
      </c>
      <c r="B5" s="3">
        <v>4.0</v>
      </c>
      <c r="C5" s="3" t="s">
        <v>15</v>
      </c>
      <c r="D5" s="3" t="s">
        <v>9</v>
      </c>
      <c r="E5" s="3">
        <f>VLOOKUP(D5,Developer!$A$1:$C$51,3,0)</f>
        <v>38</v>
      </c>
      <c r="F5" s="3">
        <v>1.0</v>
      </c>
      <c r="G5" s="3">
        <v>1850.0</v>
      </c>
      <c r="J5" s="2"/>
      <c r="K5" s="4"/>
      <c r="L5" s="2"/>
    </row>
    <row r="6">
      <c r="A6" s="3" t="s">
        <v>16</v>
      </c>
      <c r="B6" s="3">
        <v>5.0</v>
      </c>
      <c r="C6" s="3" t="s">
        <v>17</v>
      </c>
      <c r="D6" s="3" t="s">
        <v>18</v>
      </c>
      <c r="E6" s="3">
        <f>VLOOKUP(D6,Developer!$A$1:$C$51,3,0)</f>
        <v>17</v>
      </c>
      <c r="F6" s="3">
        <v>1.0</v>
      </c>
      <c r="G6" s="3">
        <v>670.0</v>
      </c>
      <c r="J6" s="2"/>
      <c r="K6" s="4"/>
      <c r="L6" s="2"/>
    </row>
    <row r="7">
      <c r="A7" s="3" t="s">
        <v>19</v>
      </c>
      <c r="B7" s="3">
        <v>6.0</v>
      </c>
      <c r="C7" s="3" t="s">
        <v>20</v>
      </c>
      <c r="D7" s="3" t="s">
        <v>21</v>
      </c>
      <c r="E7" s="3">
        <f>VLOOKUP(D7,Developer!$A$1:$C$51,3,0)</f>
        <v>5</v>
      </c>
      <c r="F7" s="3">
        <v>1.0</v>
      </c>
      <c r="G7" s="3">
        <v>1980.0</v>
      </c>
      <c r="J7" s="2"/>
      <c r="K7" s="4"/>
      <c r="L7" s="2"/>
    </row>
    <row r="8">
      <c r="A8" s="3" t="s">
        <v>22</v>
      </c>
      <c r="B8" s="3">
        <v>7.0</v>
      </c>
      <c r="C8" s="3" t="s">
        <v>23</v>
      </c>
      <c r="D8" s="3" t="s">
        <v>24</v>
      </c>
      <c r="E8" s="3">
        <f>VLOOKUP(D8,Developer!$A$1:$C$51,3,0)</f>
        <v>1</v>
      </c>
      <c r="F8" s="3">
        <v>1.0</v>
      </c>
      <c r="G8" s="3">
        <v>3140.0</v>
      </c>
      <c r="J8" s="2"/>
      <c r="K8" s="4"/>
      <c r="L8" s="2"/>
    </row>
    <row r="9">
      <c r="A9" s="3" t="s">
        <v>25</v>
      </c>
      <c r="B9" s="3">
        <v>8.0</v>
      </c>
      <c r="C9" s="3" t="s">
        <v>26</v>
      </c>
      <c r="D9" s="3" t="s">
        <v>27</v>
      </c>
      <c r="E9" s="3">
        <f>VLOOKUP(D9,Developer!$A$1:$C$51,3,0)</f>
        <v>36</v>
      </c>
      <c r="F9" s="3">
        <v>1.0</v>
      </c>
      <c r="G9" s="3">
        <v>1000.0</v>
      </c>
      <c r="J9" s="2"/>
      <c r="K9" s="4"/>
      <c r="L9" s="2"/>
    </row>
    <row r="10">
      <c r="A10" s="3" t="s">
        <v>28</v>
      </c>
      <c r="B10" s="3">
        <v>9.0</v>
      </c>
      <c r="C10" s="3" t="s">
        <v>29</v>
      </c>
      <c r="D10" s="3" t="s">
        <v>18</v>
      </c>
      <c r="E10" s="3">
        <f>VLOOKUP(D10,Developer!$A$1:$C$51,3,0)</f>
        <v>17</v>
      </c>
      <c r="F10" s="3">
        <v>1.0</v>
      </c>
      <c r="G10" s="3">
        <v>290.0</v>
      </c>
      <c r="J10" s="2"/>
      <c r="K10" s="4"/>
      <c r="L10" s="2"/>
    </row>
    <row r="11">
      <c r="A11" s="3" t="s">
        <v>30</v>
      </c>
      <c r="B11" s="3">
        <v>10.0</v>
      </c>
      <c r="C11" s="3" t="s">
        <v>31</v>
      </c>
      <c r="D11" s="3" t="s">
        <v>32</v>
      </c>
      <c r="E11" s="3">
        <f>VLOOKUP(D11,Developer!$A$1:$C$51,3,0)</f>
        <v>8</v>
      </c>
      <c r="F11" s="3">
        <v>1.0</v>
      </c>
      <c r="G11" s="3">
        <v>910.0</v>
      </c>
      <c r="J11" s="2"/>
      <c r="K11" s="4"/>
      <c r="L11" s="2"/>
    </row>
    <row r="12">
      <c r="A12" s="3" t="s">
        <v>33</v>
      </c>
      <c r="B12" s="3">
        <v>11.0</v>
      </c>
      <c r="C12" s="3" t="s">
        <v>34</v>
      </c>
      <c r="D12" s="3" t="s">
        <v>9</v>
      </c>
      <c r="E12" s="3">
        <f>VLOOKUP(D12,Developer!$A$1:$C$51,3,0)</f>
        <v>38</v>
      </c>
      <c r="F12" s="3">
        <v>1.0</v>
      </c>
      <c r="G12" s="3">
        <v>1870.0</v>
      </c>
      <c r="J12" s="2"/>
      <c r="K12" s="4"/>
      <c r="L12" s="2"/>
    </row>
    <row r="13">
      <c r="A13" s="3" t="s">
        <v>35</v>
      </c>
      <c r="B13" s="3">
        <v>12.0</v>
      </c>
      <c r="C13" s="3" t="s">
        <v>36</v>
      </c>
      <c r="D13" s="3" t="s">
        <v>9</v>
      </c>
      <c r="E13" s="3">
        <f>VLOOKUP(D13,Developer!$A$1:$C$51,3,0)</f>
        <v>38</v>
      </c>
      <c r="F13" s="3">
        <v>1.0</v>
      </c>
      <c r="G13" s="3">
        <v>2930.0</v>
      </c>
      <c r="J13" s="2"/>
      <c r="K13" s="4"/>
      <c r="L13" s="2"/>
    </row>
    <row r="14">
      <c r="A14" s="3" t="s">
        <v>37</v>
      </c>
      <c r="B14" s="3">
        <v>13.0</v>
      </c>
      <c r="C14" s="3" t="s">
        <v>38</v>
      </c>
      <c r="D14" s="3" t="s">
        <v>9</v>
      </c>
      <c r="E14" s="3">
        <f>VLOOKUP(D14,Developer!$A$1:$C$51,3,0)</f>
        <v>38</v>
      </c>
      <c r="F14" s="3">
        <v>1.0</v>
      </c>
      <c r="G14" s="3">
        <v>1640.0</v>
      </c>
      <c r="J14" s="2"/>
      <c r="K14" s="4"/>
      <c r="L14" s="2"/>
    </row>
    <row r="15">
      <c r="A15" s="3" t="s">
        <v>39</v>
      </c>
      <c r="B15" s="3">
        <v>14.0</v>
      </c>
      <c r="C15" s="3" t="s">
        <v>40</v>
      </c>
      <c r="D15" s="3" t="s">
        <v>18</v>
      </c>
      <c r="E15" s="3">
        <f>VLOOKUP(D15,Developer!$A$1:$C$51,3,0)</f>
        <v>17</v>
      </c>
      <c r="F15" s="3">
        <v>1.0</v>
      </c>
      <c r="G15" s="3">
        <v>340.0</v>
      </c>
      <c r="J15" s="2"/>
      <c r="K15" s="4"/>
      <c r="L15" s="2"/>
    </row>
    <row r="16">
      <c r="A16" s="3" t="s">
        <v>41</v>
      </c>
      <c r="B16" s="3">
        <v>15.0</v>
      </c>
      <c r="C16" s="3" t="s">
        <v>42</v>
      </c>
      <c r="D16" s="3" t="s">
        <v>9</v>
      </c>
      <c r="E16" s="3">
        <f>VLOOKUP(D16,Developer!$A$1:$C$51,3,0)</f>
        <v>38</v>
      </c>
      <c r="F16" s="3">
        <v>1.0</v>
      </c>
      <c r="G16" s="3">
        <v>1230.0</v>
      </c>
      <c r="J16" s="2"/>
      <c r="K16" s="4"/>
      <c r="L16" s="2"/>
    </row>
    <row r="17">
      <c r="A17" s="3" t="s">
        <v>43</v>
      </c>
      <c r="B17" s="3">
        <v>16.0</v>
      </c>
      <c r="C17" s="3" t="s">
        <v>44</v>
      </c>
      <c r="D17" s="3" t="s">
        <v>18</v>
      </c>
      <c r="E17" s="3">
        <f>VLOOKUP(D17,Developer!$A$1:$C$51,3,0)</f>
        <v>17</v>
      </c>
      <c r="F17" s="3">
        <v>1.0</v>
      </c>
      <c r="G17" s="3">
        <v>420.0</v>
      </c>
      <c r="J17" s="2"/>
      <c r="K17" s="4"/>
      <c r="L17" s="2"/>
    </row>
    <row r="18">
      <c r="A18" s="3" t="s">
        <v>45</v>
      </c>
      <c r="B18" s="3">
        <v>17.0</v>
      </c>
      <c r="C18" s="3" t="s">
        <v>46</v>
      </c>
      <c r="D18" s="3" t="s">
        <v>47</v>
      </c>
      <c r="E18" s="3">
        <f>VLOOKUP(D18,Developer!$A$1:$C$51,3,0)</f>
        <v>6</v>
      </c>
      <c r="F18" s="3">
        <v>1.0</v>
      </c>
      <c r="G18" s="3">
        <v>630.0</v>
      </c>
      <c r="J18" s="2"/>
      <c r="K18" s="4"/>
      <c r="L18" s="2"/>
    </row>
    <row r="19">
      <c r="A19" s="3" t="s">
        <v>48</v>
      </c>
      <c r="B19" s="3">
        <v>18.0</v>
      </c>
      <c r="C19" s="3" t="s">
        <v>49</v>
      </c>
      <c r="D19" s="3" t="s">
        <v>50</v>
      </c>
      <c r="E19" s="3">
        <f>VLOOKUP(D19,Developer!$A$1:$C$51,3,0)</f>
        <v>47</v>
      </c>
      <c r="F19" s="3">
        <v>1.0</v>
      </c>
      <c r="G19" s="3">
        <v>390.0</v>
      </c>
      <c r="J19" s="2"/>
      <c r="K19" s="4"/>
      <c r="L19" s="2"/>
    </row>
    <row r="20">
      <c r="A20" s="3" t="s">
        <v>51</v>
      </c>
      <c r="B20" s="3">
        <v>19.0</v>
      </c>
      <c r="C20" s="3" t="s">
        <v>52</v>
      </c>
      <c r="D20" s="3" t="s">
        <v>32</v>
      </c>
      <c r="E20" s="3">
        <f>VLOOKUP(D20,Developer!$A$1:$C$51,3,0)</f>
        <v>8</v>
      </c>
      <c r="F20" s="3">
        <v>1.0</v>
      </c>
      <c r="G20" s="3">
        <v>1220.0</v>
      </c>
      <c r="J20" s="2"/>
      <c r="K20" s="4"/>
      <c r="L20" s="2"/>
    </row>
    <row r="21" ht="15.75" customHeight="1">
      <c r="A21" s="3" t="s">
        <v>53</v>
      </c>
      <c r="B21" s="3">
        <v>20.0</v>
      </c>
      <c r="C21" s="3" t="s">
        <v>54</v>
      </c>
      <c r="D21" s="3" t="s">
        <v>9</v>
      </c>
      <c r="E21" s="3">
        <f>VLOOKUP(D21,Developer!$A$1:$C$51,3,0)</f>
        <v>38</v>
      </c>
      <c r="F21" s="3">
        <v>1.0</v>
      </c>
      <c r="G21" s="3">
        <v>1340.0</v>
      </c>
      <c r="J21" s="2"/>
      <c r="K21" s="4"/>
      <c r="L21" s="2"/>
    </row>
    <row r="22" ht="15.75" customHeight="1">
      <c r="A22" s="3" t="s">
        <v>55</v>
      </c>
      <c r="B22" s="3">
        <v>21.0</v>
      </c>
      <c r="C22" s="3" t="s">
        <v>56</v>
      </c>
      <c r="D22" s="3" t="s">
        <v>18</v>
      </c>
      <c r="E22" s="3">
        <f>VLOOKUP(D22,Developer!$A$1:$C$51,3,0)</f>
        <v>17</v>
      </c>
      <c r="F22" s="3">
        <v>1.0</v>
      </c>
      <c r="G22" s="3">
        <v>400.0</v>
      </c>
      <c r="J22" s="2"/>
      <c r="K22" s="4"/>
      <c r="L22" s="2"/>
    </row>
    <row r="23" ht="15.75" customHeight="1">
      <c r="A23" s="3" t="s">
        <v>57</v>
      </c>
      <c r="B23" s="3">
        <v>22.0</v>
      </c>
      <c r="C23" s="3" t="s">
        <v>58</v>
      </c>
      <c r="D23" s="3" t="s">
        <v>32</v>
      </c>
      <c r="E23" s="3">
        <f>VLOOKUP(D23,Developer!$A$1:$C$51,3,0)</f>
        <v>8</v>
      </c>
      <c r="F23" s="3">
        <v>1.0</v>
      </c>
      <c r="G23" s="3">
        <v>1270.0</v>
      </c>
      <c r="J23" s="2"/>
      <c r="K23" s="4"/>
      <c r="L23" s="2"/>
    </row>
    <row r="24" ht="15.75" customHeight="1">
      <c r="A24" s="3" t="s">
        <v>59</v>
      </c>
      <c r="B24" s="3">
        <v>23.0</v>
      </c>
      <c r="C24" s="3" t="s">
        <v>60</v>
      </c>
      <c r="D24" s="3" t="s">
        <v>9</v>
      </c>
      <c r="E24" s="3">
        <f>VLOOKUP(D24,Developer!$A$1:$C$51,3,0)</f>
        <v>38</v>
      </c>
      <c r="F24" s="3">
        <v>1.0</v>
      </c>
      <c r="G24" s="3">
        <v>2220.0</v>
      </c>
      <c r="J24" s="2"/>
      <c r="K24" s="4"/>
      <c r="L24" s="2"/>
    </row>
    <row r="25" ht="15.75" customHeight="1">
      <c r="A25" s="3" t="s">
        <v>61</v>
      </c>
      <c r="B25" s="3">
        <v>24.0</v>
      </c>
      <c r="C25" s="3" t="s">
        <v>62</v>
      </c>
      <c r="D25" s="3" t="s">
        <v>63</v>
      </c>
      <c r="E25" s="3">
        <f>VLOOKUP(D25,Developer!$A$1:$C$51,3,0)</f>
        <v>2</v>
      </c>
      <c r="F25" s="3">
        <v>1.0</v>
      </c>
      <c r="G25" s="3">
        <v>1140.0</v>
      </c>
      <c r="J25" s="2"/>
      <c r="K25" s="4"/>
      <c r="L25" s="2"/>
    </row>
    <row r="26" ht="15.75" customHeight="1">
      <c r="A26" s="3" t="s">
        <v>64</v>
      </c>
      <c r="B26" s="3">
        <v>25.0</v>
      </c>
      <c r="C26" s="3" t="s">
        <v>65</v>
      </c>
      <c r="D26" s="3" t="s">
        <v>66</v>
      </c>
      <c r="E26" s="3">
        <f>VLOOKUP(D26,Developer!$A$1:$C$51,3,0)</f>
        <v>44</v>
      </c>
      <c r="F26" s="3">
        <v>1.0</v>
      </c>
      <c r="G26" s="3">
        <v>420.0</v>
      </c>
      <c r="J26" s="2"/>
      <c r="K26" s="4"/>
      <c r="L26" s="2"/>
    </row>
    <row r="27" ht="15.75" customHeight="1">
      <c r="A27" s="3" t="s">
        <v>67</v>
      </c>
      <c r="B27" s="3">
        <v>26.0</v>
      </c>
      <c r="C27" s="3" t="s">
        <v>68</v>
      </c>
      <c r="D27" s="3" t="s">
        <v>69</v>
      </c>
      <c r="E27" s="3">
        <f>VLOOKUP(D27,Developer!$A$1:$C$51,3,0)</f>
        <v>49</v>
      </c>
      <c r="F27" s="3">
        <v>1.0</v>
      </c>
      <c r="G27" s="3">
        <v>390.0</v>
      </c>
      <c r="J27" s="2"/>
      <c r="K27" s="4"/>
      <c r="L27" s="2"/>
    </row>
    <row r="28" ht="15.75" customHeight="1">
      <c r="A28" s="3" t="s">
        <v>70</v>
      </c>
      <c r="B28" s="3">
        <v>27.0</v>
      </c>
      <c r="C28" s="3" t="s">
        <v>71</v>
      </c>
      <c r="D28" s="3" t="s">
        <v>9</v>
      </c>
      <c r="E28" s="3">
        <f>VLOOKUP(D28,Developer!$A$1:$C$51,3,0)</f>
        <v>38</v>
      </c>
      <c r="F28" s="3">
        <v>0.0</v>
      </c>
      <c r="G28" s="3">
        <v>1840.0</v>
      </c>
      <c r="J28" s="2"/>
      <c r="K28" s="4"/>
      <c r="L28" s="2"/>
    </row>
    <row r="29" ht="15.75" customHeight="1">
      <c r="A29" s="3" t="s">
        <v>72</v>
      </c>
      <c r="B29" s="3">
        <v>28.0</v>
      </c>
      <c r="C29" s="3" t="s">
        <v>73</v>
      </c>
      <c r="D29" s="3" t="s">
        <v>74</v>
      </c>
      <c r="E29" s="3">
        <f>VLOOKUP(D29,Developer!$A$1:$C$51,3,0)</f>
        <v>29</v>
      </c>
      <c r="F29" s="3">
        <v>1.0</v>
      </c>
      <c r="G29" s="3">
        <v>690.0</v>
      </c>
      <c r="J29" s="2"/>
      <c r="K29" s="4"/>
      <c r="L29" s="2"/>
    </row>
    <row r="30" ht="15.75" customHeight="1">
      <c r="A30" s="3" t="s">
        <v>75</v>
      </c>
      <c r="B30" s="3">
        <v>29.0</v>
      </c>
      <c r="C30" s="3" t="s">
        <v>76</v>
      </c>
      <c r="D30" s="3" t="s">
        <v>9</v>
      </c>
      <c r="E30" s="3">
        <f>VLOOKUP(D30,Developer!$A$1:$C$51,3,0)</f>
        <v>38</v>
      </c>
      <c r="F30" s="3">
        <v>0.0</v>
      </c>
      <c r="G30" s="3">
        <v>1860.0</v>
      </c>
      <c r="J30" s="2"/>
      <c r="K30" s="4"/>
      <c r="L30" s="2"/>
    </row>
    <row r="31" ht="15.75" customHeight="1">
      <c r="A31" s="3" t="s">
        <v>77</v>
      </c>
      <c r="B31" s="3">
        <v>30.0</v>
      </c>
      <c r="C31" s="3" t="s">
        <v>78</v>
      </c>
      <c r="D31" s="3" t="s">
        <v>18</v>
      </c>
      <c r="E31" s="3">
        <f>VLOOKUP(D31,Developer!$A$1:$C$51,3,0)</f>
        <v>17</v>
      </c>
      <c r="F31" s="3">
        <v>1.0</v>
      </c>
      <c r="G31" s="3">
        <v>240.0</v>
      </c>
      <c r="J31" s="2"/>
      <c r="K31" s="4"/>
      <c r="L31" s="2"/>
    </row>
    <row r="32" ht="15.75" customHeight="1">
      <c r="A32" s="3" t="s">
        <v>79</v>
      </c>
      <c r="B32" s="3">
        <v>31.0</v>
      </c>
      <c r="C32" s="3" t="s">
        <v>80</v>
      </c>
      <c r="D32" s="3" t="s">
        <v>63</v>
      </c>
      <c r="E32" s="3">
        <f>VLOOKUP(D32,Developer!$A$1:$C$51,3,0)</f>
        <v>2</v>
      </c>
      <c r="F32" s="3">
        <v>1.0</v>
      </c>
      <c r="G32" s="3">
        <v>1080.0</v>
      </c>
      <c r="J32" s="2"/>
      <c r="K32" s="4"/>
      <c r="L32" s="2"/>
    </row>
    <row r="33" ht="15.75" customHeight="1">
      <c r="A33" s="3" t="s">
        <v>81</v>
      </c>
      <c r="B33" s="3">
        <v>32.0</v>
      </c>
      <c r="C33" s="3" t="s">
        <v>82</v>
      </c>
      <c r="D33" s="3" t="s">
        <v>18</v>
      </c>
      <c r="E33" s="3">
        <f>VLOOKUP(D33,Developer!$A$1:$C$51,3,0)</f>
        <v>17</v>
      </c>
      <c r="F33" s="3">
        <v>1.0</v>
      </c>
      <c r="G33" s="3">
        <v>180.0</v>
      </c>
      <c r="J33" s="2"/>
      <c r="K33" s="4"/>
      <c r="L33" s="2"/>
    </row>
    <row r="34" ht="15.75" customHeight="1">
      <c r="A34" s="3" t="s">
        <v>83</v>
      </c>
      <c r="B34" s="3">
        <v>33.0</v>
      </c>
      <c r="C34" s="3" t="s">
        <v>84</v>
      </c>
      <c r="D34" s="3" t="s">
        <v>69</v>
      </c>
      <c r="E34" s="3">
        <f>VLOOKUP(D34,Developer!$A$1:$C$51,3,0)</f>
        <v>49</v>
      </c>
      <c r="F34" s="3">
        <v>1.0</v>
      </c>
      <c r="G34" s="3">
        <v>2720.0</v>
      </c>
      <c r="J34" s="2"/>
      <c r="K34" s="4"/>
      <c r="L34" s="2"/>
    </row>
    <row r="35" ht="15.75" customHeight="1">
      <c r="A35" s="3" t="s">
        <v>85</v>
      </c>
      <c r="B35" s="3">
        <v>34.0</v>
      </c>
      <c r="C35" s="3" t="s">
        <v>86</v>
      </c>
      <c r="D35" s="3" t="s">
        <v>18</v>
      </c>
      <c r="E35" s="3">
        <f>VLOOKUP(D35,Developer!$A$1:$C$51,3,0)</f>
        <v>17</v>
      </c>
      <c r="F35" s="3">
        <v>1.0</v>
      </c>
      <c r="G35" s="3">
        <v>370.0</v>
      </c>
      <c r="J35" s="2"/>
      <c r="K35" s="4"/>
      <c r="L35" s="2"/>
    </row>
    <row r="36" ht="15.75" customHeight="1">
      <c r="A36" s="3" t="s">
        <v>87</v>
      </c>
      <c r="B36" s="3">
        <v>35.0</v>
      </c>
      <c r="C36" s="3" t="s">
        <v>88</v>
      </c>
      <c r="D36" s="3" t="s">
        <v>47</v>
      </c>
      <c r="E36" s="3">
        <f>VLOOKUP(D36,Developer!$A$1:$C$51,3,0)</f>
        <v>6</v>
      </c>
      <c r="F36" s="3">
        <v>1.0</v>
      </c>
      <c r="G36" s="3">
        <v>650.0</v>
      </c>
      <c r="J36" s="2"/>
      <c r="K36" s="4"/>
      <c r="L36" s="2"/>
    </row>
    <row r="37" ht="15.75" customHeight="1">
      <c r="A37" s="3" t="s">
        <v>89</v>
      </c>
      <c r="B37" s="3">
        <v>36.0</v>
      </c>
      <c r="C37" s="3" t="s">
        <v>90</v>
      </c>
      <c r="D37" s="3" t="s">
        <v>91</v>
      </c>
      <c r="E37" s="3">
        <f>VLOOKUP(D37,Developer!$A$1:$C$51,3,0)</f>
        <v>50</v>
      </c>
      <c r="F37" s="3">
        <v>1.0</v>
      </c>
      <c r="G37" s="3">
        <v>2060.0</v>
      </c>
      <c r="J37" s="2"/>
      <c r="K37" s="4"/>
      <c r="L37" s="2"/>
    </row>
    <row r="38" ht="15.75" customHeight="1">
      <c r="A38" s="3" t="s">
        <v>92</v>
      </c>
      <c r="B38" s="3">
        <v>37.0</v>
      </c>
      <c r="C38" s="3" t="s">
        <v>93</v>
      </c>
      <c r="D38" s="3" t="s">
        <v>9</v>
      </c>
      <c r="E38" s="3">
        <f>VLOOKUP(D38,Developer!$A$1:$C$51,3,0)</f>
        <v>38</v>
      </c>
      <c r="F38" s="3">
        <v>0.0</v>
      </c>
      <c r="G38" s="3">
        <v>1740.0</v>
      </c>
      <c r="J38" s="2"/>
      <c r="K38" s="4"/>
      <c r="L38" s="2"/>
    </row>
    <row r="39" ht="15.75" customHeight="1">
      <c r="A39" s="3" t="s">
        <v>94</v>
      </c>
      <c r="B39" s="3">
        <v>38.0</v>
      </c>
      <c r="C39" s="3" t="s">
        <v>95</v>
      </c>
      <c r="D39" s="3" t="s">
        <v>96</v>
      </c>
      <c r="E39" s="3">
        <f>VLOOKUP(D39,Developer!$A$1:$C$51,3,0)</f>
        <v>9</v>
      </c>
      <c r="F39" s="3">
        <v>1.0</v>
      </c>
      <c r="G39" s="3">
        <v>340.0</v>
      </c>
      <c r="J39" s="2"/>
      <c r="K39" s="4"/>
      <c r="L39" s="2"/>
    </row>
    <row r="40" ht="15.75" customHeight="1">
      <c r="A40" s="3" t="s">
        <v>97</v>
      </c>
      <c r="B40" s="3">
        <v>39.0</v>
      </c>
      <c r="C40" s="3" t="s">
        <v>98</v>
      </c>
      <c r="D40" s="3" t="s">
        <v>99</v>
      </c>
      <c r="E40" s="3">
        <f>VLOOKUP(D40,Developer!$A$1:$C$51,3,0)</f>
        <v>24</v>
      </c>
      <c r="F40" s="3">
        <v>1.0</v>
      </c>
      <c r="G40" s="3">
        <v>1180.0</v>
      </c>
      <c r="J40" s="2"/>
      <c r="K40" s="4"/>
      <c r="L40" s="2"/>
    </row>
    <row r="41" ht="15.75" customHeight="1">
      <c r="A41" s="3" t="s">
        <v>100</v>
      </c>
      <c r="B41" s="3">
        <v>40.0</v>
      </c>
      <c r="C41" s="3" t="s">
        <v>101</v>
      </c>
      <c r="D41" s="3" t="s">
        <v>21</v>
      </c>
      <c r="E41" s="3">
        <f>VLOOKUP(D41,Developer!$A$1:$C$51,3,0)</f>
        <v>5</v>
      </c>
      <c r="F41" s="3">
        <v>1.0</v>
      </c>
      <c r="G41" s="3">
        <v>2290.0</v>
      </c>
      <c r="J41" s="2"/>
      <c r="K41" s="4"/>
      <c r="L41" s="2"/>
    </row>
    <row r="42" ht="15.75" customHeight="1">
      <c r="A42" s="3" t="s">
        <v>102</v>
      </c>
      <c r="B42" s="3">
        <v>41.0</v>
      </c>
      <c r="C42" s="3" t="s">
        <v>103</v>
      </c>
      <c r="D42" s="3" t="s">
        <v>18</v>
      </c>
      <c r="E42" s="3">
        <f>VLOOKUP(D42,Developer!$A$1:$C$51,3,0)</f>
        <v>17</v>
      </c>
      <c r="F42" s="3">
        <v>1.0</v>
      </c>
      <c r="G42" s="3">
        <v>410.0</v>
      </c>
      <c r="J42" s="2"/>
      <c r="K42" s="4"/>
      <c r="L42" s="2"/>
    </row>
    <row r="43" ht="15.75" customHeight="1">
      <c r="A43" s="3" t="s">
        <v>104</v>
      </c>
      <c r="B43" s="3">
        <v>42.0</v>
      </c>
      <c r="C43" s="3" t="s">
        <v>105</v>
      </c>
      <c r="D43" s="3" t="s">
        <v>106</v>
      </c>
      <c r="E43" s="3">
        <f>VLOOKUP(D43,Developer!$A$1:$C$51,3,0)</f>
        <v>32</v>
      </c>
      <c r="F43" s="3">
        <v>1.0</v>
      </c>
      <c r="G43" s="3">
        <v>220.0</v>
      </c>
      <c r="J43" s="2"/>
      <c r="K43" s="4"/>
      <c r="L43" s="2"/>
    </row>
    <row r="44" ht="15.75" customHeight="1">
      <c r="A44" s="3" t="s">
        <v>107</v>
      </c>
      <c r="B44" s="3">
        <v>43.0</v>
      </c>
      <c r="C44" s="3" t="s">
        <v>108</v>
      </c>
      <c r="D44" s="3" t="s">
        <v>9</v>
      </c>
      <c r="E44" s="3">
        <f>VLOOKUP(D44,Developer!$A$1:$C$51,3,0)</f>
        <v>38</v>
      </c>
      <c r="F44" s="3">
        <v>1.0</v>
      </c>
      <c r="G44" s="3">
        <v>2690.0</v>
      </c>
      <c r="J44" s="2"/>
      <c r="K44" s="4"/>
      <c r="L44" s="2"/>
    </row>
    <row r="45" ht="15.75" customHeight="1">
      <c r="A45" s="3" t="s">
        <v>109</v>
      </c>
      <c r="B45" s="3">
        <v>44.0</v>
      </c>
      <c r="C45" s="3" t="s">
        <v>110</v>
      </c>
      <c r="D45" s="3" t="s">
        <v>18</v>
      </c>
      <c r="E45" s="3">
        <f>VLOOKUP(D45,Developer!$A$1:$C$51,3,0)</f>
        <v>17</v>
      </c>
      <c r="F45" s="3">
        <v>1.0</v>
      </c>
      <c r="G45" s="3">
        <v>720.0</v>
      </c>
      <c r="J45" s="2"/>
      <c r="K45" s="4"/>
      <c r="L45" s="2"/>
    </row>
    <row r="46" ht="15.75" customHeight="1">
      <c r="A46" s="3" t="s">
        <v>111</v>
      </c>
      <c r="B46" s="3">
        <v>45.0</v>
      </c>
      <c r="C46" s="3" t="s">
        <v>112</v>
      </c>
      <c r="D46" s="3" t="s">
        <v>9</v>
      </c>
      <c r="E46" s="3">
        <f>VLOOKUP(D46,Developer!$A$1:$C$51,3,0)</f>
        <v>38</v>
      </c>
      <c r="F46" s="3">
        <v>1.0</v>
      </c>
      <c r="G46" s="3">
        <v>1300.0</v>
      </c>
      <c r="J46" s="2"/>
      <c r="K46" s="4"/>
      <c r="L46" s="2"/>
    </row>
    <row r="47" ht="15.75" customHeight="1">
      <c r="A47" s="3" t="s">
        <v>113</v>
      </c>
      <c r="B47" s="3">
        <v>46.0</v>
      </c>
      <c r="C47" s="3" t="s">
        <v>114</v>
      </c>
      <c r="D47" s="3" t="s">
        <v>9</v>
      </c>
      <c r="E47" s="3">
        <f>VLOOKUP(D47,Developer!$A$1:$C$51,3,0)</f>
        <v>38</v>
      </c>
      <c r="F47" s="3">
        <v>0.0</v>
      </c>
      <c r="G47" s="3">
        <v>2380.0</v>
      </c>
      <c r="J47" s="2"/>
      <c r="K47" s="4"/>
      <c r="L47" s="2"/>
    </row>
    <row r="48" ht="15.75" customHeight="1">
      <c r="A48" s="3" t="s">
        <v>115</v>
      </c>
      <c r="B48" s="3">
        <v>47.0</v>
      </c>
      <c r="C48" s="3" t="s">
        <v>116</v>
      </c>
      <c r="D48" s="3" t="s">
        <v>18</v>
      </c>
      <c r="E48" s="3">
        <f>VLOOKUP(D48,Developer!$A$1:$C$51,3,0)</f>
        <v>17</v>
      </c>
      <c r="F48" s="3">
        <v>1.0</v>
      </c>
      <c r="G48" s="3">
        <v>170.0</v>
      </c>
      <c r="J48" s="2"/>
      <c r="K48" s="4"/>
      <c r="L48" s="2"/>
    </row>
    <row r="49" ht="15.75" customHeight="1">
      <c r="A49" s="3" t="s">
        <v>117</v>
      </c>
      <c r="B49" s="3">
        <v>48.0</v>
      </c>
      <c r="C49" s="3" t="s">
        <v>118</v>
      </c>
      <c r="D49" s="3" t="s">
        <v>18</v>
      </c>
      <c r="E49" s="3">
        <f>VLOOKUP(D49,Developer!$A$1:$C$51,3,0)</f>
        <v>17</v>
      </c>
      <c r="F49" s="3">
        <v>1.0</v>
      </c>
      <c r="G49" s="3">
        <v>170.0</v>
      </c>
      <c r="J49" s="2"/>
      <c r="K49" s="4"/>
      <c r="L49" s="2"/>
    </row>
    <row r="50" ht="15.75" customHeight="1">
      <c r="A50" s="3" t="s">
        <v>119</v>
      </c>
      <c r="B50" s="3">
        <v>49.0</v>
      </c>
      <c r="C50" s="3" t="s">
        <v>120</v>
      </c>
      <c r="D50" s="3" t="s">
        <v>69</v>
      </c>
      <c r="E50" s="3">
        <f>VLOOKUP(D50,Developer!$A$1:$C$51,3,0)</f>
        <v>49</v>
      </c>
      <c r="F50" s="3">
        <v>0.0</v>
      </c>
      <c r="G50" s="3">
        <v>2550.0</v>
      </c>
      <c r="J50" s="2"/>
      <c r="K50" s="4"/>
      <c r="L50" s="2"/>
    </row>
    <row r="51" ht="15.75" customHeight="1">
      <c r="A51" s="3" t="s">
        <v>121</v>
      </c>
      <c r="B51" s="3">
        <v>50.0</v>
      </c>
      <c r="C51" s="3" t="s">
        <v>122</v>
      </c>
      <c r="D51" s="3" t="s">
        <v>91</v>
      </c>
      <c r="E51" s="3">
        <f>VLOOKUP(D51,Developer!$A$1:$C$51,3,0)</f>
        <v>50</v>
      </c>
      <c r="F51" s="3">
        <v>1.0</v>
      </c>
      <c r="G51" s="3">
        <v>1840.0</v>
      </c>
      <c r="J51" s="2"/>
      <c r="K51" s="4"/>
      <c r="L51" s="2"/>
    </row>
    <row r="52" ht="15.75" customHeight="1">
      <c r="A52" s="3" t="s">
        <v>123</v>
      </c>
      <c r="B52" s="3">
        <v>51.0</v>
      </c>
      <c r="C52" s="3" t="s">
        <v>124</v>
      </c>
      <c r="D52" s="3" t="s">
        <v>50</v>
      </c>
      <c r="E52" s="3">
        <f>VLOOKUP(D52,Developer!$A$1:$C$51,3,0)</f>
        <v>47</v>
      </c>
      <c r="F52" s="3">
        <v>0.0</v>
      </c>
      <c r="G52" s="3">
        <v>260.0</v>
      </c>
    </row>
    <row r="53" ht="15.75" customHeight="1">
      <c r="A53" s="3" t="s">
        <v>125</v>
      </c>
      <c r="B53" s="3">
        <v>52.0</v>
      </c>
      <c r="C53" s="3" t="s">
        <v>126</v>
      </c>
      <c r="D53" s="3" t="s">
        <v>9</v>
      </c>
      <c r="E53" s="3">
        <f>VLOOKUP(D53,Developer!$A$1:$C$51,3,0)</f>
        <v>38</v>
      </c>
      <c r="F53" s="3">
        <v>1.0</v>
      </c>
      <c r="G53" s="3">
        <v>1200.0</v>
      </c>
    </row>
    <row r="54" ht="15.75" customHeight="1">
      <c r="A54" s="3" t="s">
        <v>127</v>
      </c>
      <c r="B54" s="3">
        <v>53.0</v>
      </c>
      <c r="C54" s="3" t="s">
        <v>128</v>
      </c>
      <c r="D54" s="3" t="s">
        <v>18</v>
      </c>
      <c r="E54" s="3">
        <f>VLOOKUP(D54,Developer!$A$1:$C$51,3,0)</f>
        <v>17</v>
      </c>
      <c r="F54" s="3">
        <v>1.0</v>
      </c>
      <c r="G54" s="3">
        <v>150.0</v>
      </c>
    </row>
    <row r="55" ht="15.75" customHeight="1">
      <c r="A55" s="3" t="s">
        <v>129</v>
      </c>
      <c r="B55" s="3">
        <v>54.0</v>
      </c>
      <c r="C55" s="3" t="s">
        <v>130</v>
      </c>
      <c r="D55" s="3" t="s">
        <v>131</v>
      </c>
      <c r="E55" s="3">
        <f>VLOOKUP(D55,Developer!$A$1:$C$51,3,0)</f>
        <v>3</v>
      </c>
      <c r="F55" s="3">
        <v>0.0</v>
      </c>
      <c r="G55" s="3">
        <v>300.0</v>
      </c>
    </row>
    <row r="56" ht="15.75" customHeight="1">
      <c r="A56" s="3" t="s">
        <v>132</v>
      </c>
      <c r="B56" s="3">
        <v>55.0</v>
      </c>
      <c r="C56" s="3" t="s">
        <v>133</v>
      </c>
      <c r="D56" s="3" t="s">
        <v>18</v>
      </c>
      <c r="E56" s="3">
        <f>VLOOKUP(D56,Developer!$A$1:$C$51,3,0)</f>
        <v>17</v>
      </c>
      <c r="F56" s="3">
        <v>1.0</v>
      </c>
      <c r="G56" s="3">
        <v>160.0</v>
      </c>
    </row>
    <row r="57" ht="15.75" customHeight="1">
      <c r="A57" s="3" t="s">
        <v>134</v>
      </c>
      <c r="B57" s="3">
        <v>56.0</v>
      </c>
      <c r="C57" s="3" t="s">
        <v>135</v>
      </c>
      <c r="D57" s="3" t="s">
        <v>136</v>
      </c>
      <c r="E57" s="3">
        <f>VLOOKUP(D57,Developer!$A$1:$C$51,3,0)</f>
        <v>18</v>
      </c>
      <c r="F57" s="3">
        <v>1.0</v>
      </c>
      <c r="G57" s="3">
        <v>330.0</v>
      </c>
    </row>
    <row r="58" ht="15.75" customHeight="1">
      <c r="A58" s="3" t="s">
        <v>137</v>
      </c>
      <c r="B58" s="3">
        <v>57.0</v>
      </c>
      <c r="C58" s="3" t="s">
        <v>138</v>
      </c>
      <c r="D58" s="3" t="s">
        <v>91</v>
      </c>
      <c r="E58" s="3">
        <f>VLOOKUP(D58,Developer!$A$1:$C$51,3,0)</f>
        <v>50</v>
      </c>
      <c r="F58" s="3">
        <v>1.0</v>
      </c>
      <c r="G58" s="3">
        <v>1790.0</v>
      </c>
    </row>
    <row r="59" ht="15.75" customHeight="1">
      <c r="A59" s="3" t="s">
        <v>139</v>
      </c>
      <c r="B59" s="3">
        <v>58.0</v>
      </c>
      <c r="C59" s="3" t="s">
        <v>140</v>
      </c>
      <c r="D59" s="3" t="s">
        <v>32</v>
      </c>
      <c r="E59" s="3">
        <f>VLOOKUP(D59,Developer!$A$1:$C$51,3,0)</f>
        <v>8</v>
      </c>
      <c r="F59" s="3">
        <v>1.0</v>
      </c>
      <c r="G59" s="3">
        <v>1650.0</v>
      </c>
    </row>
    <row r="60" ht="15.75" customHeight="1">
      <c r="A60" s="3" t="s">
        <v>141</v>
      </c>
      <c r="B60" s="3">
        <v>59.0</v>
      </c>
      <c r="C60" s="3" t="s">
        <v>142</v>
      </c>
      <c r="D60" s="3" t="s">
        <v>9</v>
      </c>
      <c r="E60" s="3">
        <f>VLOOKUP(D60,Developer!$A$1:$C$51,3,0)</f>
        <v>38</v>
      </c>
      <c r="F60" s="3">
        <v>1.0</v>
      </c>
      <c r="G60" s="3">
        <v>2840.0</v>
      </c>
    </row>
    <row r="61" ht="15.75" customHeight="1">
      <c r="A61" s="3" t="s">
        <v>143</v>
      </c>
      <c r="B61" s="3">
        <v>60.0</v>
      </c>
      <c r="C61" s="3" t="s">
        <v>144</v>
      </c>
      <c r="D61" s="3" t="s">
        <v>9</v>
      </c>
      <c r="E61" s="3">
        <f>VLOOKUP(D61,Developer!$A$1:$C$51,3,0)</f>
        <v>38</v>
      </c>
      <c r="F61" s="3">
        <v>0.0</v>
      </c>
      <c r="G61" s="3">
        <v>1780.0</v>
      </c>
    </row>
    <row r="62" ht="15.75" customHeight="1">
      <c r="A62" s="3" t="s">
        <v>145</v>
      </c>
      <c r="B62" s="3">
        <v>61.0</v>
      </c>
      <c r="C62" s="3" t="s">
        <v>146</v>
      </c>
      <c r="D62" s="3" t="s">
        <v>9</v>
      </c>
      <c r="E62" s="3">
        <f>VLOOKUP(D62,Developer!$A$1:$C$51,3,0)</f>
        <v>38</v>
      </c>
      <c r="F62" s="3">
        <v>1.0</v>
      </c>
      <c r="G62" s="3">
        <v>1380.0</v>
      </c>
    </row>
    <row r="63" ht="15.75" customHeight="1">
      <c r="A63" s="3" t="s">
        <v>147</v>
      </c>
      <c r="B63" s="3">
        <v>62.0</v>
      </c>
      <c r="C63" s="3" t="s">
        <v>148</v>
      </c>
      <c r="D63" s="3" t="s">
        <v>18</v>
      </c>
      <c r="E63" s="3">
        <f>VLOOKUP(D63,Developer!$A$1:$C$51,3,0)</f>
        <v>17</v>
      </c>
      <c r="F63" s="3">
        <v>0.0</v>
      </c>
      <c r="G63" s="3">
        <v>370.0</v>
      </c>
    </row>
    <row r="64" ht="15.75" customHeight="1">
      <c r="A64" s="3" t="s">
        <v>149</v>
      </c>
      <c r="B64" s="3">
        <v>63.0</v>
      </c>
      <c r="C64" s="3" t="s">
        <v>150</v>
      </c>
      <c r="D64" s="3" t="s">
        <v>47</v>
      </c>
      <c r="E64" s="3">
        <f>VLOOKUP(D64,Developer!$A$1:$C$51,3,0)</f>
        <v>6</v>
      </c>
      <c r="F64" s="3">
        <v>0.0</v>
      </c>
      <c r="G64" s="3">
        <v>640.0</v>
      </c>
    </row>
    <row r="65" ht="15.75" customHeight="1">
      <c r="A65" s="3" t="s">
        <v>151</v>
      </c>
      <c r="B65" s="3">
        <v>64.0</v>
      </c>
      <c r="C65" s="3" t="s">
        <v>152</v>
      </c>
      <c r="D65" s="3" t="s">
        <v>9</v>
      </c>
      <c r="E65" s="3">
        <f>VLOOKUP(D65,Developer!$A$1:$C$51,3,0)</f>
        <v>38</v>
      </c>
      <c r="F65" s="3">
        <v>0.0</v>
      </c>
      <c r="G65" s="3">
        <v>4110.0</v>
      </c>
    </row>
    <row r="66" ht="15.75" customHeight="1">
      <c r="A66" s="3" t="s">
        <v>153</v>
      </c>
      <c r="B66" s="3">
        <v>65.0</v>
      </c>
      <c r="C66" s="3" t="s">
        <v>154</v>
      </c>
      <c r="D66" s="3" t="s">
        <v>18</v>
      </c>
      <c r="E66" s="3">
        <f>VLOOKUP(D66,Developer!$A$1:$C$51,3,0)</f>
        <v>17</v>
      </c>
      <c r="F66" s="3">
        <v>1.0</v>
      </c>
      <c r="G66" s="3">
        <v>360.0</v>
      </c>
    </row>
    <row r="67" ht="15.75" customHeight="1">
      <c r="A67" s="3" t="s">
        <v>155</v>
      </c>
      <c r="B67" s="3">
        <v>66.0</v>
      </c>
      <c r="C67" s="3" t="s">
        <v>156</v>
      </c>
      <c r="D67" s="3" t="s">
        <v>9</v>
      </c>
      <c r="E67" s="3">
        <f>VLOOKUP(D67,Developer!$A$1:$C$51,3,0)</f>
        <v>38</v>
      </c>
      <c r="F67" s="3">
        <v>1.0</v>
      </c>
      <c r="G67" s="3">
        <v>1140.0</v>
      </c>
    </row>
    <row r="68" ht="15.75" customHeight="1">
      <c r="A68" s="3" t="s">
        <v>157</v>
      </c>
      <c r="B68" s="3">
        <v>67.0</v>
      </c>
      <c r="C68" s="3" t="s">
        <v>158</v>
      </c>
      <c r="D68" s="3" t="s">
        <v>18</v>
      </c>
      <c r="E68" s="3">
        <f>VLOOKUP(D68,Developer!$A$1:$C$51,3,0)</f>
        <v>17</v>
      </c>
      <c r="F68" s="3">
        <v>1.0</v>
      </c>
      <c r="G68" s="3">
        <v>270.0</v>
      </c>
    </row>
    <row r="69" ht="15.75" customHeight="1">
      <c r="A69" s="3" t="s">
        <v>159</v>
      </c>
      <c r="B69" s="3">
        <v>68.0</v>
      </c>
      <c r="C69" s="3" t="s">
        <v>160</v>
      </c>
      <c r="D69" s="3" t="s">
        <v>9</v>
      </c>
      <c r="E69" s="3">
        <f>VLOOKUP(D69,Developer!$A$1:$C$51,3,0)</f>
        <v>38</v>
      </c>
      <c r="F69" s="3">
        <v>1.0</v>
      </c>
      <c r="G69" s="3">
        <v>1810.0</v>
      </c>
    </row>
    <row r="70" ht="15.75" customHeight="1">
      <c r="A70" s="3" t="s">
        <v>161</v>
      </c>
      <c r="B70" s="3">
        <v>69.0</v>
      </c>
      <c r="C70" s="3" t="s">
        <v>162</v>
      </c>
      <c r="D70" s="3" t="s">
        <v>18</v>
      </c>
      <c r="E70" s="3">
        <f>VLOOKUP(D70,Developer!$A$1:$C$51,3,0)</f>
        <v>17</v>
      </c>
      <c r="F70" s="3">
        <v>1.0</v>
      </c>
      <c r="G70" s="3">
        <v>140.0</v>
      </c>
    </row>
    <row r="71" ht="15.75" customHeight="1">
      <c r="A71" s="3" t="s">
        <v>163</v>
      </c>
      <c r="B71" s="3">
        <v>70.0</v>
      </c>
      <c r="C71" s="3" t="s">
        <v>164</v>
      </c>
      <c r="D71" s="3" t="s">
        <v>18</v>
      </c>
      <c r="E71" s="3">
        <f>VLOOKUP(D71,Developer!$A$1:$C$51,3,0)</f>
        <v>17</v>
      </c>
      <c r="F71" s="3">
        <v>1.0</v>
      </c>
      <c r="G71" s="3">
        <v>350.0</v>
      </c>
    </row>
    <row r="72" ht="15.75" customHeight="1">
      <c r="A72" s="3" t="s">
        <v>165</v>
      </c>
      <c r="B72" s="3">
        <v>71.0</v>
      </c>
      <c r="C72" s="3" t="s">
        <v>166</v>
      </c>
      <c r="D72" s="3" t="s">
        <v>91</v>
      </c>
      <c r="E72" s="3">
        <f>VLOOKUP(D72,Developer!$A$1:$C$51,3,0)</f>
        <v>50</v>
      </c>
      <c r="F72" s="3">
        <v>1.0</v>
      </c>
      <c r="G72" s="3">
        <v>1840.0</v>
      </c>
    </row>
    <row r="73" ht="15.75" customHeight="1">
      <c r="A73" s="3" t="s">
        <v>167</v>
      </c>
      <c r="B73" s="3">
        <v>72.0</v>
      </c>
      <c r="C73" s="3" t="s">
        <v>168</v>
      </c>
      <c r="D73" s="3" t="s">
        <v>9</v>
      </c>
      <c r="E73" s="3">
        <f>VLOOKUP(D73,Developer!$A$1:$C$51,3,0)</f>
        <v>38</v>
      </c>
      <c r="F73" s="3">
        <v>1.0</v>
      </c>
      <c r="G73" s="3">
        <v>2380.0</v>
      </c>
    </row>
    <row r="74" ht="15.75" customHeight="1">
      <c r="A74" s="3" t="s">
        <v>169</v>
      </c>
      <c r="B74" s="3">
        <v>73.0</v>
      </c>
      <c r="C74" s="3" t="s">
        <v>170</v>
      </c>
      <c r="D74" s="3" t="s">
        <v>131</v>
      </c>
      <c r="E74" s="3">
        <f>VLOOKUP(D74,Developer!$A$1:$C$51,3,0)</f>
        <v>3</v>
      </c>
      <c r="F74" s="3">
        <v>0.0</v>
      </c>
      <c r="G74" s="3">
        <v>270.0</v>
      </c>
    </row>
    <row r="75" ht="15.75" customHeight="1">
      <c r="A75" s="3" t="s">
        <v>171</v>
      </c>
      <c r="B75" s="3">
        <v>74.0</v>
      </c>
      <c r="C75" s="3" t="s">
        <v>172</v>
      </c>
      <c r="D75" s="3" t="s">
        <v>9</v>
      </c>
      <c r="E75" s="3">
        <f>VLOOKUP(D75,Developer!$A$1:$C$51,3,0)</f>
        <v>38</v>
      </c>
      <c r="F75" s="3">
        <v>1.0</v>
      </c>
      <c r="G75" s="3">
        <v>2210.0</v>
      </c>
    </row>
    <row r="76" ht="15.75" customHeight="1">
      <c r="A76" s="3" t="s">
        <v>173</v>
      </c>
      <c r="B76" s="3">
        <v>75.0</v>
      </c>
      <c r="C76" s="3" t="s">
        <v>174</v>
      </c>
      <c r="D76" s="3" t="s">
        <v>9</v>
      </c>
      <c r="E76" s="3">
        <f>VLOOKUP(D76,Developer!$A$1:$C$51,3,0)</f>
        <v>38</v>
      </c>
      <c r="F76" s="3">
        <v>1.0</v>
      </c>
      <c r="G76" s="3">
        <v>1110.0</v>
      </c>
    </row>
    <row r="77" ht="15.75" customHeight="1">
      <c r="A77" s="3" t="s">
        <v>175</v>
      </c>
      <c r="B77" s="3">
        <v>76.0</v>
      </c>
      <c r="C77" s="3" t="s">
        <v>176</v>
      </c>
      <c r="D77" s="3" t="s">
        <v>32</v>
      </c>
      <c r="E77" s="3">
        <f>VLOOKUP(D77,Developer!$A$1:$C$51,3,0)</f>
        <v>8</v>
      </c>
      <c r="F77" s="3">
        <v>1.0</v>
      </c>
      <c r="G77" s="3">
        <v>1250.0</v>
      </c>
    </row>
    <row r="78" ht="15.75" customHeight="1">
      <c r="A78" s="3" t="s">
        <v>177</v>
      </c>
      <c r="B78" s="3">
        <v>77.0</v>
      </c>
      <c r="C78" s="3" t="s">
        <v>178</v>
      </c>
      <c r="D78" s="3" t="s">
        <v>24</v>
      </c>
      <c r="E78" s="3">
        <f>VLOOKUP(D78,Developer!$A$1:$C$51,3,0)</f>
        <v>1</v>
      </c>
      <c r="F78" s="3">
        <v>1.0</v>
      </c>
      <c r="G78" s="3">
        <v>3110.0</v>
      </c>
    </row>
    <row r="79" ht="15.75" customHeight="1">
      <c r="A79" s="3" t="s">
        <v>179</v>
      </c>
      <c r="B79" s="3">
        <v>78.0</v>
      </c>
      <c r="C79" s="3" t="s">
        <v>180</v>
      </c>
      <c r="D79" s="3" t="s">
        <v>9</v>
      </c>
      <c r="E79" s="3">
        <f>VLOOKUP(D79,Developer!$A$1:$C$51,3,0)</f>
        <v>38</v>
      </c>
      <c r="F79" s="3">
        <v>1.0</v>
      </c>
      <c r="G79" s="3">
        <v>1790.0</v>
      </c>
    </row>
    <row r="80" ht="15.75" customHeight="1">
      <c r="A80" s="3" t="s">
        <v>181</v>
      </c>
      <c r="B80" s="3">
        <v>79.0</v>
      </c>
      <c r="C80" s="3" t="s">
        <v>182</v>
      </c>
      <c r="D80" s="3" t="s">
        <v>91</v>
      </c>
      <c r="E80" s="3">
        <f>VLOOKUP(D80,Developer!$A$1:$C$51,3,0)</f>
        <v>50</v>
      </c>
      <c r="F80" s="3">
        <v>1.0</v>
      </c>
      <c r="G80" s="3">
        <v>1280.0</v>
      </c>
    </row>
    <row r="81" ht="15.75" customHeight="1">
      <c r="A81" s="3" t="s">
        <v>183</v>
      </c>
      <c r="B81" s="3">
        <v>80.0</v>
      </c>
      <c r="C81" s="3" t="s">
        <v>184</v>
      </c>
      <c r="D81" s="3" t="s">
        <v>27</v>
      </c>
      <c r="E81" s="3">
        <f>VLOOKUP(D81,Developer!$A$1:$C$51,3,0)</f>
        <v>36</v>
      </c>
      <c r="F81" s="3">
        <v>1.0</v>
      </c>
      <c r="G81" s="3">
        <v>690.0</v>
      </c>
    </row>
    <row r="82" ht="15.75" customHeight="1">
      <c r="A82" s="3" t="s">
        <v>185</v>
      </c>
      <c r="B82" s="3">
        <v>81.0</v>
      </c>
      <c r="C82" s="3" t="s">
        <v>186</v>
      </c>
      <c r="D82" s="3" t="s">
        <v>18</v>
      </c>
      <c r="E82" s="3">
        <f>VLOOKUP(D82,Developer!$A$1:$C$51,3,0)</f>
        <v>17</v>
      </c>
      <c r="F82" s="3">
        <v>1.0</v>
      </c>
      <c r="G82" s="3">
        <v>230.0</v>
      </c>
    </row>
    <row r="83" ht="15.75" customHeight="1">
      <c r="A83" s="3" t="s">
        <v>187</v>
      </c>
      <c r="B83" s="3">
        <v>82.0</v>
      </c>
      <c r="C83" s="3" t="s">
        <v>188</v>
      </c>
      <c r="D83" s="3" t="s">
        <v>9</v>
      </c>
      <c r="E83" s="3">
        <f>VLOOKUP(D83,Developer!$A$1:$C$51,3,0)</f>
        <v>38</v>
      </c>
      <c r="F83" s="3">
        <v>1.0</v>
      </c>
      <c r="G83" s="3">
        <v>1810.0</v>
      </c>
    </row>
    <row r="84" ht="15.75" customHeight="1">
      <c r="A84" s="3" t="s">
        <v>189</v>
      </c>
      <c r="B84" s="3">
        <v>83.0</v>
      </c>
      <c r="C84" s="3" t="s">
        <v>190</v>
      </c>
      <c r="D84" s="3" t="s">
        <v>18</v>
      </c>
      <c r="E84" s="3">
        <f>VLOOKUP(D84,Developer!$A$1:$C$51,3,0)</f>
        <v>17</v>
      </c>
      <c r="F84" s="3">
        <v>0.0</v>
      </c>
      <c r="G84" s="3">
        <v>120.0</v>
      </c>
    </row>
    <row r="85" ht="15.75" customHeight="1">
      <c r="A85" s="3" t="s">
        <v>191</v>
      </c>
      <c r="B85" s="3">
        <v>84.0</v>
      </c>
      <c r="C85" s="3" t="s">
        <v>192</v>
      </c>
      <c r="D85" s="3" t="s">
        <v>9</v>
      </c>
      <c r="E85" s="3">
        <f>VLOOKUP(D85,Developer!$A$1:$C$51,3,0)</f>
        <v>38</v>
      </c>
      <c r="F85" s="3">
        <v>1.0</v>
      </c>
      <c r="G85" s="3">
        <v>1890.0</v>
      </c>
    </row>
    <row r="86" ht="15.75" customHeight="1">
      <c r="A86" s="3" t="s">
        <v>193</v>
      </c>
      <c r="B86" s="3">
        <v>85.0</v>
      </c>
      <c r="C86" s="3" t="s">
        <v>194</v>
      </c>
      <c r="D86" s="3" t="s">
        <v>91</v>
      </c>
      <c r="E86" s="3">
        <f>VLOOKUP(D86,Developer!$A$1:$C$51,3,0)</f>
        <v>50</v>
      </c>
      <c r="F86" s="3">
        <v>1.0</v>
      </c>
      <c r="G86" s="3">
        <v>780.0</v>
      </c>
    </row>
    <row r="87" ht="15.75" customHeight="1">
      <c r="A87" s="3" t="s">
        <v>195</v>
      </c>
      <c r="B87" s="3">
        <v>86.0</v>
      </c>
      <c r="C87" s="3" t="s">
        <v>196</v>
      </c>
      <c r="D87" s="3" t="s">
        <v>18</v>
      </c>
      <c r="E87" s="3">
        <f>VLOOKUP(D87,Developer!$A$1:$C$51,3,0)</f>
        <v>17</v>
      </c>
      <c r="F87" s="3">
        <v>1.0</v>
      </c>
      <c r="G87" s="3">
        <v>130.0</v>
      </c>
    </row>
    <row r="88" ht="15.75" customHeight="1">
      <c r="A88" s="3" t="s">
        <v>197</v>
      </c>
      <c r="B88" s="3">
        <v>87.0</v>
      </c>
      <c r="C88" s="3" t="s">
        <v>198</v>
      </c>
      <c r="D88" s="3" t="s">
        <v>99</v>
      </c>
      <c r="E88" s="3">
        <f>VLOOKUP(D88,Developer!$A$1:$C$51,3,0)</f>
        <v>24</v>
      </c>
      <c r="F88" s="3">
        <v>0.0</v>
      </c>
      <c r="G88" s="3">
        <v>960.0</v>
      </c>
    </row>
    <row r="89" ht="15.75" customHeight="1">
      <c r="A89" s="3" t="s">
        <v>199</v>
      </c>
      <c r="B89" s="3">
        <v>88.0</v>
      </c>
      <c r="C89" s="3" t="s">
        <v>200</v>
      </c>
      <c r="D89" s="3" t="s">
        <v>18</v>
      </c>
      <c r="E89" s="3">
        <f>VLOOKUP(D89,Developer!$A$1:$C$51,3,0)</f>
        <v>17</v>
      </c>
      <c r="F89" s="3">
        <v>1.0</v>
      </c>
      <c r="G89" s="3">
        <v>70.0</v>
      </c>
    </row>
    <row r="90" ht="15.75" customHeight="1">
      <c r="A90" s="3" t="s">
        <v>201</v>
      </c>
      <c r="B90" s="3">
        <v>89.0</v>
      </c>
      <c r="C90" s="3" t="s">
        <v>202</v>
      </c>
      <c r="D90" s="3" t="s">
        <v>9</v>
      </c>
      <c r="E90" s="3">
        <f>VLOOKUP(D90,Developer!$A$1:$C$51,3,0)</f>
        <v>38</v>
      </c>
      <c r="F90" s="3">
        <v>0.0</v>
      </c>
      <c r="G90" s="3">
        <v>1760.0</v>
      </c>
    </row>
    <row r="91" ht="15.75" customHeight="1">
      <c r="A91" s="3" t="s">
        <v>203</v>
      </c>
      <c r="B91" s="3">
        <v>90.0</v>
      </c>
      <c r="C91" s="3" t="s">
        <v>204</v>
      </c>
      <c r="D91" s="3" t="s">
        <v>205</v>
      </c>
      <c r="E91" s="3">
        <f>VLOOKUP(D91,Developer!$A$1:$C$51,3,0)</f>
        <v>7</v>
      </c>
      <c r="F91" s="3">
        <v>1.0</v>
      </c>
      <c r="G91" s="3">
        <v>80.0</v>
      </c>
    </row>
    <row r="92" ht="15.75" customHeight="1">
      <c r="A92" s="3" t="s">
        <v>206</v>
      </c>
      <c r="B92" s="3">
        <v>91.0</v>
      </c>
      <c r="C92" s="3" t="s">
        <v>207</v>
      </c>
      <c r="D92" s="3" t="s">
        <v>9</v>
      </c>
      <c r="E92" s="3">
        <f>VLOOKUP(D92,Developer!$A$1:$C$51,3,0)</f>
        <v>38</v>
      </c>
      <c r="F92" s="3">
        <v>1.0</v>
      </c>
      <c r="G92" s="3">
        <v>1950.0</v>
      </c>
    </row>
    <row r="93" ht="15.75" customHeight="1">
      <c r="A93" s="3" t="s">
        <v>208</v>
      </c>
      <c r="B93" s="3">
        <v>92.0</v>
      </c>
      <c r="C93" s="3" t="s">
        <v>209</v>
      </c>
      <c r="D93" s="3" t="s">
        <v>9</v>
      </c>
      <c r="E93" s="3">
        <f>VLOOKUP(D93,Developer!$A$1:$C$51,3,0)</f>
        <v>38</v>
      </c>
      <c r="F93" s="3">
        <v>1.0</v>
      </c>
      <c r="G93" s="3">
        <v>1950.0</v>
      </c>
    </row>
    <row r="94" ht="15.75" customHeight="1">
      <c r="A94" s="3" t="s">
        <v>210</v>
      </c>
      <c r="B94" s="3">
        <v>93.0</v>
      </c>
      <c r="C94" s="3" t="s">
        <v>211</v>
      </c>
      <c r="D94" s="3" t="s">
        <v>18</v>
      </c>
      <c r="E94" s="3">
        <f>VLOOKUP(D94,Developer!$A$1:$C$51,3,0)</f>
        <v>17</v>
      </c>
      <c r="F94" s="3">
        <v>1.0</v>
      </c>
      <c r="G94" s="3">
        <v>390.0</v>
      </c>
    </row>
    <row r="95" ht="15.75" customHeight="1">
      <c r="A95" s="3" t="s">
        <v>212</v>
      </c>
      <c r="B95" s="3">
        <v>94.0</v>
      </c>
      <c r="C95" s="3" t="s">
        <v>213</v>
      </c>
      <c r="D95" s="3" t="s">
        <v>50</v>
      </c>
      <c r="E95" s="3">
        <f>VLOOKUP(D95,Developer!$A$1:$C$51,3,0)</f>
        <v>47</v>
      </c>
      <c r="F95" s="3">
        <v>0.0</v>
      </c>
      <c r="G95" s="3">
        <v>450.0</v>
      </c>
    </row>
    <row r="96" ht="15.75" customHeight="1">
      <c r="A96" s="3" t="s">
        <v>214</v>
      </c>
      <c r="B96" s="3">
        <v>95.0</v>
      </c>
      <c r="C96" s="3" t="s">
        <v>215</v>
      </c>
      <c r="D96" s="3" t="s">
        <v>18</v>
      </c>
      <c r="E96" s="3">
        <f>VLOOKUP(D96,Developer!$A$1:$C$51,3,0)</f>
        <v>17</v>
      </c>
      <c r="F96" s="3">
        <v>0.0</v>
      </c>
      <c r="G96" s="3">
        <v>360.0</v>
      </c>
    </row>
    <row r="97" ht="15.75" customHeight="1">
      <c r="A97" s="3" t="s">
        <v>216</v>
      </c>
      <c r="B97" s="3">
        <v>96.0</v>
      </c>
      <c r="C97" s="3" t="s">
        <v>217</v>
      </c>
      <c r="D97" s="3" t="s">
        <v>9</v>
      </c>
      <c r="E97" s="3">
        <f>VLOOKUP(D97,Developer!$A$1:$C$51,3,0)</f>
        <v>38</v>
      </c>
      <c r="F97" s="3">
        <v>1.0</v>
      </c>
      <c r="G97" s="3">
        <v>1340.0</v>
      </c>
    </row>
    <row r="98" ht="15.75" customHeight="1">
      <c r="A98" s="3" t="s">
        <v>218</v>
      </c>
      <c r="B98" s="3">
        <v>97.0</v>
      </c>
      <c r="C98" s="3" t="s">
        <v>219</v>
      </c>
      <c r="D98" s="3" t="s">
        <v>27</v>
      </c>
      <c r="E98" s="3">
        <f>VLOOKUP(D98,Developer!$A$1:$C$51,3,0)</f>
        <v>36</v>
      </c>
      <c r="F98" s="3">
        <v>1.0</v>
      </c>
      <c r="G98" s="3">
        <v>710.0</v>
      </c>
    </row>
    <row r="99" ht="15.75" customHeight="1">
      <c r="A99" s="3" t="s">
        <v>220</v>
      </c>
      <c r="B99" s="3">
        <v>98.0</v>
      </c>
      <c r="C99" s="3" t="s">
        <v>221</v>
      </c>
      <c r="D99" s="3" t="s">
        <v>50</v>
      </c>
      <c r="E99" s="3">
        <f>VLOOKUP(D99,Developer!$A$1:$C$51,3,0)</f>
        <v>47</v>
      </c>
      <c r="F99" s="3">
        <v>0.0</v>
      </c>
      <c r="G99" s="3">
        <v>450.0</v>
      </c>
    </row>
    <row r="100" ht="15.75" customHeight="1">
      <c r="A100" s="3" t="s">
        <v>222</v>
      </c>
      <c r="B100" s="3">
        <v>99.0</v>
      </c>
      <c r="C100" s="3" t="s">
        <v>223</v>
      </c>
      <c r="D100" s="3" t="s">
        <v>18</v>
      </c>
      <c r="E100" s="3">
        <f>VLOOKUP(D100,Developer!$A$1:$C$51,3,0)</f>
        <v>17</v>
      </c>
      <c r="F100" s="3">
        <v>1.0</v>
      </c>
      <c r="G100" s="3">
        <v>680.0</v>
      </c>
    </row>
    <row r="101" ht="15.75" customHeight="1">
      <c r="A101" s="3" t="s">
        <v>224</v>
      </c>
      <c r="B101" s="3">
        <v>100.0</v>
      </c>
      <c r="C101" s="3" t="s">
        <v>225</v>
      </c>
      <c r="D101" s="3" t="s">
        <v>9</v>
      </c>
      <c r="E101" s="3">
        <f>VLOOKUP(D101,Developer!$A$1:$C$51,3,0)</f>
        <v>38</v>
      </c>
      <c r="F101" s="3">
        <v>1.0</v>
      </c>
      <c r="G101" s="3">
        <v>1370.0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7.43"/>
    <col customWidth="1" min="3" max="3" width="14.14"/>
    <col customWidth="1" min="4" max="26" width="8.71"/>
  </cols>
  <sheetData>
    <row r="1">
      <c r="A1" s="5" t="s">
        <v>226</v>
      </c>
      <c r="B1" s="5" t="s">
        <v>227</v>
      </c>
      <c r="C1" s="5" t="s">
        <v>228</v>
      </c>
    </row>
    <row r="2">
      <c r="A2" s="5" t="s">
        <v>24</v>
      </c>
      <c r="B2" s="6">
        <v>42010.0</v>
      </c>
      <c r="C2" s="5">
        <v>1.0</v>
      </c>
    </row>
    <row r="3">
      <c r="A3" s="5" t="s">
        <v>63</v>
      </c>
      <c r="B3" s="6">
        <v>42965.0</v>
      </c>
      <c r="C3" s="5">
        <v>2.0</v>
      </c>
    </row>
    <row r="4">
      <c r="A4" s="5" t="s">
        <v>131</v>
      </c>
      <c r="B4" s="6">
        <v>42299.0</v>
      </c>
      <c r="C4" s="5">
        <v>3.0</v>
      </c>
    </row>
    <row r="5">
      <c r="A5" s="5" t="s">
        <v>229</v>
      </c>
      <c r="B5" s="6">
        <v>42788.0</v>
      </c>
      <c r="C5" s="5">
        <v>4.0</v>
      </c>
    </row>
    <row r="6">
      <c r="A6" s="5" t="s">
        <v>21</v>
      </c>
      <c r="B6" s="6">
        <v>42006.0</v>
      </c>
      <c r="C6" s="5">
        <v>5.0</v>
      </c>
    </row>
    <row r="7">
      <c r="A7" s="5" t="s">
        <v>47</v>
      </c>
      <c r="B7" s="6">
        <v>42872.0</v>
      </c>
      <c r="C7" s="5">
        <v>6.0</v>
      </c>
    </row>
    <row r="8">
      <c r="A8" s="5" t="s">
        <v>205</v>
      </c>
      <c r="B8" s="6">
        <v>43055.0</v>
      </c>
      <c r="C8" s="5">
        <v>7.0</v>
      </c>
    </row>
    <row r="9">
      <c r="A9" s="5" t="s">
        <v>32</v>
      </c>
      <c r="B9" s="6">
        <v>42628.0</v>
      </c>
      <c r="C9" s="5">
        <v>8.0</v>
      </c>
    </row>
    <row r="10">
      <c r="A10" s="5" t="s">
        <v>96</v>
      </c>
      <c r="B10" s="6">
        <v>43157.0</v>
      </c>
      <c r="C10" s="5">
        <v>9.0</v>
      </c>
    </row>
    <row r="11">
      <c r="A11" s="5" t="s">
        <v>230</v>
      </c>
      <c r="B11" s="6">
        <v>42998.0</v>
      </c>
      <c r="C11" s="5">
        <v>10.0</v>
      </c>
    </row>
    <row r="12">
      <c r="A12" s="5" t="s">
        <v>231</v>
      </c>
      <c r="B12" s="6">
        <v>42315.0</v>
      </c>
      <c r="C12" s="5">
        <v>11.0</v>
      </c>
    </row>
    <row r="13">
      <c r="A13" s="5" t="s">
        <v>232</v>
      </c>
      <c r="B13" s="6">
        <v>42660.0</v>
      </c>
      <c r="C13" s="5">
        <v>12.0</v>
      </c>
    </row>
    <row r="14">
      <c r="A14" s="5" t="s">
        <v>233</v>
      </c>
      <c r="B14" s="6">
        <v>43258.0</v>
      </c>
      <c r="C14" s="5">
        <v>13.0</v>
      </c>
    </row>
    <row r="15">
      <c r="A15" s="5" t="s">
        <v>234</v>
      </c>
      <c r="B15" s="6">
        <v>42137.0</v>
      </c>
      <c r="C15" s="5">
        <v>14.0</v>
      </c>
    </row>
    <row r="16">
      <c r="A16" s="5" t="s">
        <v>235</v>
      </c>
      <c r="B16" s="6">
        <v>43267.0</v>
      </c>
      <c r="C16" s="5">
        <v>15.0</v>
      </c>
    </row>
    <row r="17">
      <c r="A17" s="5" t="s">
        <v>236</v>
      </c>
      <c r="B17" s="6">
        <v>42751.0</v>
      </c>
      <c r="C17" s="5">
        <v>16.0</v>
      </c>
    </row>
    <row r="18">
      <c r="A18" s="5" t="s">
        <v>18</v>
      </c>
      <c r="B18" s="6">
        <v>43039.0</v>
      </c>
      <c r="C18" s="5">
        <v>17.0</v>
      </c>
    </row>
    <row r="19">
      <c r="A19" s="5" t="s">
        <v>136</v>
      </c>
      <c r="B19" s="6">
        <v>42781.0</v>
      </c>
      <c r="C19" s="5">
        <v>18.0</v>
      </c>
    </row>
    <row r="20">
      <c r="A20" s="5" t="s">
        <v>237</v>
      </c>
      <c r="B20" s="6">
        <v>42907.0</v>
      </c>
      <c r="C20" s="5">
        <v>19.0</v>
      </c>
    </row>
    <row r="21" ht="15.75" customHeight="1">
      <c r="A21" s="5" t="s">
        <v>238</v>
      </c>
      <c r="B21" s="6">
        <v>43020.0</v>
      </c>
      <c r="C21" s="5">
        <v>20.0</v>
      </c>
    </row>
    <row r="22" ht="15.75" customHeight="1">
      <c r="A22" s="5" t="s">
        <v>239</v>
      </c>
      <c r="B22" s="6">
        <v>42605.0</v>
      </c>
      <c r="C22" s="5">
        <v>21.0</v>
      </c>
    </row>
    <row r="23" ht="15.75" customHeight="1">
      <c r="A23" s="5" t="s">
        <v>240</v>
      </c>
      <c r="B23" s="6">
        <v>42445.0</v>
      </c>
      <c r="C23" s="5">
        <v>22.0</v>
      </c>
    </row>
    <row r="24" ht="15.75" customHeight="1">
      <c r="A24" s="5" t="s">
        <v>241</v>
      </c>
      <c r="B24" s="6">
        <v>42206.0</v>
      </c>
      <c r="C24" s="5">
        <v>23.0</v>
      </c>
    </row>
    <row r="25" ht="15.75" customHeight="1">
      <c r="A25" s="5" t="s">
        <v>99</v>
      </c>
      <c r="B25" s="6">
        <v>42890.0</v>
      </c>
      <c r="C25" s="5">
        <v>24.0</v>
      </c>
    </row>
    <row r="26" ht="15.75" customHeight="1">
      <c r="A26" s="5" t="s">
        <v>242</v>
      </c>
      <c r="B26" s="6">
        <v>42839.0</v>
      </c>
      <c r="C26" s="5">
        <v>25.0</v>
      </c>
    </row>
    <row r="27" ht="15.75" customHeight="1">
      <c r="A27" s="5" t="s">
        <v>243</v>
      </c>
      <c r="B27" s="6">
        <v>43183.0</v>
      </c>
      <c r="C27" s="5">
        <v>26.0</v>
      </c>
    </row>
    <row r="28" ht="15.75" customHeight="1">
      <c r="A28" s="5" t="s">
        <v>244</v>
      </c>
      <c r="B28" s="6">
        <v>42640.0</v>
      </c>
      <c r="C28" s="5">
        <v>27.0</v>
      </c>
    </row>
    <row r="29" ht="15.75" customHeight="1">
      <c r="A29" s="5" t="s">
        <v>245</v>
      </c>
      <c r="B29" s="6">
        <v>42148.0</v>
      </c>
      <c r="C29" s="5">
        <v>28.0</v>
      </c>
    </row>
    <row r="30" ht="15.75" customHeight="1">
      <c r="A30" s="5" t="s">
        <v>74</v>
      </c>
      <c r="B30" s="6">
        <v>42620.0</v>
      </c>
      <c r="C30" s="5">
        <v>29.0</v>
      </c>
    </row>
    <row r="31" ht="15.75" customHeight="1">
      <c r="A31" s="5" t="s">
        <v>246</v>
      </c>
      <c r="B31" s="6">
        <v>43032.0</v>
      </c>
      <c r="C31" s="5">
        <v>30.0</v>
      </c>
    </row>
    <row r="32" ht="15.75" customHeight="1">
      <c r="A32" s="5" t="s">
        <v>247</v>
      </c>
      <c r="B32" s="6">
        <v>42224.0</v>
      </c>
      <c r="C32" s="5">
        <v>31.0</v>
      </c>
    </row>
    <row r="33" ht="15.75" customHeight="1">
      <c r="A33" s="5" t="s">
        <v>106</v>
      </c>
      <c r="B33" s="6">
        <v>43201.0</v>
      </c>
      <c r="C33" s="5">
        <v>32.0</v>
      </c>
    </row>
    <row r="34" ht="15.75" customHeight="1">
      <c r="A34" s="5" t="s">
        <v>248</v>
      </c>
      <c r="B34" s="6">
        <v>43039.0</v>
      </c>
      <c r="C34" s="5">
        <v>33.0</v>
      </c>
    </row>
    <row r="35" ht="15.75" customHeight="1">
      <c r="A35" s="5" t="s">
        <v>249</v>
      </c>
      <c r="B35" s="6">
        <v>42987.0</v>
      </c>
      <c r="C35" s="5">
        <v>34.0</v>
      </c>
    </row>
    <row r="36" ht="15.75" customHeight="1">
      <c r="A36" s="5" t="s">
        <v>250</v>
      </c>
      <c r="B36" s="6">
        <v>42232.0</v>
      </c>
      <c r="C36" s="5">
        <v>35.0</v>
      </c>
    </row>
    <row r="37" ht="15.75" customHeight="1">
      <c r="A37" s="5" t="s">
        <v>27</v>
      </c>
      <c r="B37" s="6">
        <v>42079.0</v>
      </c>
      <c r="C37" s="5">
        <v>36.0</v>
      </c>
    </row>
    <row r="38" ht="15.75" customHeight="1">
      <c r="A38" s="5" t="s">
        <v>251</v>
      </c>
      <c r="B38" s="6">
        <v>42637.0</v>
      </c>
      <c r="C38" s="5">
        <v>37.0</v>
      </c>
    </row>
    <row r="39" ht="15.75" customHeight="1">
      <c r="A39" s="5" t="s">
        <v>9</v>
      </c>
      <c r="B39" s="6">
        <v>42234.0</v>
      </c>
      <c r="C39" s="5">
        <v>38.0</v>
      </c>
    </row>
    <row r="40" ht="15.75" customHeight="1">
      <c r="A40" s="5" t="s">
        <v>252</v>
      </c>
      <c r="B40" s="6">
        <v>43043.0</v>
      </c>
      <c r="C40" s="5">
        <v>39.0</v>
      </c>
    </row>
    <row r="41" ht="15.75" customHeight="1">
      <c r="A41" s="5" t="s">
        <v>253</v>
      </c>
      <c r="B41" s="6">
        <v>42822.0</v>
      </c>
      <c r="C41" s="5">
        <v>40.0</v>
      </c>
    </row>
    <row r="42" ht="15.75" customHeight="1">
      <c r="A42" s="5" t="s">
        <v>254</v>
      </c>
      <c r="B42" s="6">
        <v>42982.0</v>
      </c>
      <c r="C42" s="5">
        <v>41.0</v>
      </c>
    </row>
    <row r="43" ht="15.75" customHeight="1">
      <c r="A43" s="5" t="s">
        <v>255</v>
      </c>
      <c r="B43" s="6">
        <v>43057.0</v>
      </c>
      <c r="C43" s="5">
        <v>42.0</v>
      </c>
    </row>
    <row r="44" ht="15.75" customHeight="1">
      <c r="A44" s="5" t="s">
        <v>256</v>
      </c>
      <c r="B44" s="6">
        <v>43028.0</v>
      </c>
      <c r="C44" s="5">
        <v>43.0</v>
      </c>
    </row>
    <row r="45" ht="15.75" customHeight="1">
      <c r="A45" s="5" t="s">
        <v>66</v>
      </c>
      <c r="B45" s="6">
        <v>43226.0</v>
      </c>
      <c r="C45" s="5">
        <v>44.0</v>
      </c>
    </row>
    <row r="46" ht="15.75" customHeight="1">
      <c r="A46" s="5" t="s">
        <v>257</v>
      </c>
      <c r="B46" s="6">
        <v>42668.0</v>
      </c>
      <c r="C46" s="5">
        <v>45.0</v>
      </c>
    </row>
    <row r="47" ht="15.75" customHeight="1">
      <c r="A47" s="5" t="s">
        <v>258</v>
      </c>
      <c r="B47" s="6">
        <v>42038.0</v>
      </c>
      <c r="C47" s="5">
        <v>46.0</v>
      </c>
    </row>
    <row r="48" ht="15.75" customHeight="1">
      <c r="A48" s="5" t="s">
        <v>50</v>
      </c>
      <c r="B48" s="6">
        <v>42835.0</v>
      </c>
      <c r="C48" s="5">
        <v>47.0</v>
      </c>
    </row>
    <row r="49" ht="15.75" customHeight="1">
      <c r="A49" s="5" t="s">
        <v>259</v>
      </c>
      <c r="B49" s="6">
        <v>42706.0</v>
      </c>
      <c r="C49" s="5">
        <v>48.0</v>
      </c>
    </row>
    <row r="50" ht="15.75" customHeight="1">
      <c r="A50" s="5" t="s">
        <v>69</v>
      </c>
      <c r="B50" s="6">
        <v>42329.0</v>
      </c>
      <c r="C50" s="5">
        <v>49.0</v>
      </c>
    </row>
    <row r="51" ht="15.75" customHeight="1">
      <c r="A51" s="5" t="s">
        <v>91</v>
      </c>
      <c r="B51" s="6">
        <v>42777.0</v>
      </c>
      <c r="C51" s="5">
        <v>50.0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7.86"/>
    <col customWidth="1" min="3" max="3" width="12.0"/>
    <col customWidth="1" min="4" max="4" width="13.86"/>
    <col customWidth="1" min="5" max="5" width="24.71"/>
    <col customWidth="1" min="6" max="9" width="8.71"/>
    <col customWidth="1" min="10" max="10" width="17.43"/>
    <col customWidth="1" min="11" max="11" width="19.86"/>
    <col customWidth="1" min="12" max="26" width="8.71"/>
  </cols>
  <sheetData>
    <row r="1">
      <c r="A1" s="5" t="s">
        <v>260</v>
      </c>
      <c r="B1" s="5" t="s">
        <v>261</v>
      </c>
      <c r="C1" s="5" t="s">
        <v>1</v>
      </c>
      <c r="D1" s="5" t="s">
        <v>262</v>
      </c>
      <c r="E1" s="5" t="s">
        <v>263</v>
      </c>
      <c r="J1" s="1"/>
      <c r="K1" s="1"/>
    </row>
    <row r="2">
      <c r="A2" s="5">
        <v>1.0</v>
      </c>
      <c r="B2" s="5" t="s">
        <v>208</v>
      </c>
      <c r="C2" s="5">
        <f>VLOOKUP(B2,Good!$A$1:$B$101,2,0)</f>
        <v>92</v>
      </c>
      <c r="D2" s="5">
        <v>1.0</v>
      </c>
      <c r="E2" s="7">
        <v>43751.77230324074</v>
      </c>
    </row>
    <row r="3">
      <c r="A3" s="5">
        <v>2.0</v>
      </c>
      <c r="B3" s="5" t="s">
        <v>171</v>
      </c>
      <c r="C3" s="5">
        <f>VLOOKUP(B3,Good!$A$1:$B$101,2,0)</f>
        <v>74</v>
      </c>
      <c r="D3" s="5">
        <v>1.0</v>
      </c>
      <c r="E3" s="7">
        <v>43535.435752314814</v>
      </c>
    </row>
    <row r="4">
      <c r="A4" s="5">
        <v>3.0</v>
      </c>
      <c r="B4" s="5" t="s">
        <v>203</v>
      </c>
      <c r="C4" s="5">
        <f>VLOOKUP(B4,Good!$A$1:$B$101,2,0)</f>
        <v>90</v>
      </c>
      <c r="D4" s="5">
        <v>1.0</v>
      </c>
      <c r="E4" s="7">
        <v>43687.505277777775</v>
      </c>
    </row>
    <row r="5">
      <c r="A5" s="5">
        <v>4.0</v>
      </c>
      <c r="B5" s="5" t="s">
        <v>201</v>
      </c>
      <c r="C5" s="5">
        <f>VLOOKUP(B5,Good!$A$1:$B$101,2,0)</f>
        <v>89</v>
      </c>
      <c r="D5" s="5">
        <v>1.0</v>
      </c>
      <c r="E5" s="7">
        <v>43607.51721064815</v>
      </c>
    </row>
    <row r="6">
      <c r="A6" s="5">
        <v>5.0</v>
      </c>
      <c r="B6" s="5" t="s">
        <v>113</v>
      </c>
      <c r="C6" s="5">
        <f>VLOOKUP(B6,Good!$A$1:$B$101,2,0)</f>
        <v>46</v>
      </c>
      <c r="D6" s="5">
        <v>2.0</v>
      </c>
      <c r="E6" s="7">
        <v>43505.48310185185</v>
      </c>
    </row>
    <row r="7">
      <c r="A7" s="5">
        <v>6.0</v>
      </c>
      <c r="B7" s="5" t="s">
        <v>210</v>
      </c>
      <c r="C7" s="5">
        <f>VLOOKUP(B7,Good!$A$1:$B$101,2,0)</f>
        <v>93</v>
      </c>
      <c r="D7" s="5">
        <v>2.0</v>
      </c>
      <c r="E7" s="7">
        <v>43659.605833333335</v>
      </c>
    </row>
    <row r="8">
      <c r="A8" s="5">
        <v>7.0</v>
      </c>
      <c r="B8" s="5" t="s">
        <v>53</v>
      </c>
      <c r="C8" s="5">
        <f>VLOOKUP(B8,Good!$A$1:$B$101,2,0)</f>
        <v>20</v>
      </c>
      <c r="D8" s="5">
        <v>1.0</v>
      </c>
      <c r="E8" s="7">
        <v>43611.717569444445</v>
      </c>
    </row>
    <row r="9">
      <c r="A9" s="5">
        <v>8.0</v>
      </c>
      <c r="B9" s="5" t="s">
        <v>208</v>
      </c>
      <c r="C9" s="5">
        <f>VLOOKUP(B9,Good!$A$1:$B$101,2,0)</f>
        <v>92</v>
      </c>
      <c r="D9" s="5">
        <v>1.0</v>
      </c>
      <c r="E9" s="7">
        <v>43552.746087962965</v>
      </c>
    </row>
    <row r="10">
      <c r="A10" s="5">
        <v>9.0</v>
      </c>
      <c r="B10" s="5" t="s">
        <v>92</v>
      </c>
      <c r="C10" s="5">
        <f>VLOOKUP(B10,Good!$A$1:$B$101,2,0)</f>
        <v>37</v>
      </c>
      <c r="D10" s="5">
        <v>2.0</v>
      </c>
      <c r="E10" s="7">
        <v>43760.78880787037</v>
      </c>
    </row>
    <row r="11">
      <c r="A11" s="5">
        <v>10.0</v>
      </c>
      <c r="B11" s="5" t="s">
        <v>7</v>
      </c>
      <c r="C11" s="5">
        <f>VLOOKUP(B11,Good!$A$1:$B$101,2,0)</f>
        <v>1</v>
      </c>
      <c r="D11" s="5">
        <v>2.0</v>
      </c>
      <c r="E11" s="7">
        <v>43528.40319444444</v>
      </c>
    </row>
    <row r="12">
      <c r="A12" s="5">
        <v>11.0</v>
      </c>
      <c r="B12" s="5" t="s">
        <v>123</v>
      </c>
      <c r="C12" s="5">
        <f>VLOOKUP(B12,Good!$A$1:$B$101,2,0)</f>
        <v>51</v>
      </c>
      <c r="D12" s="5">
        <v>1.0</v>
      </c>
      <c r="E12" s="7">
        <v>43725.818506944444</v>
      </c>
    </row>
    <row r="13">
      <c r="A13" s="5">
        <v>12.0</v>
      </c>
      <c r="B13" s="5" t="s">
        <v>72</v>
      </c>
      <c r="C13" s="5">
        <f>VLOOKUP(B13,Good!$A$1:$B$101,2,0)</f>
        <v>28</v>
      </c>
      <c r="D13" s="5">
        <v>2.0</v>
      </c>
      <c r="E13" s="7">
        <v>43571.75662037037</v>
      </c>
    </row>
    <row r="14">
      <c r="A14" s="5">
        <v>13.0</v>
      </c>
      <c r="B14" s="5" t="s">
        <v>61</v>
      </c>
      <c r="C14" s="5">
        <f>VLOOKUP(B14,Good!$A$1:$B$101,2,0)</f>
        <v>24</v>
      </c>
      <c r="D14" s="5">
        <v>1.0</v>
      </c>
      <c r="E14" s="7">
        <v>43595.51576388889</v>
      </c>
    </row>
    <row r="15">
      <c r="A15" s="5">
        <v>14.0</v>
      </c>
      <c r="B15" s="5" t="s">
        <v>92</v>
      </c>
      <c r="C15" s="5">
        <f>VLOOKUP(B15,Good!$A$1:$B$101,2,0)</f>
        <v>37</v>
      </c>
      <c r="D15" s="5">
        <v>2.0</v>
      </c>
      <c r="E15" s="7">
        <v>43568.35648148148</v>
      </c>
    </row>
    <row r="16">
      <c r="A16" s="5">
        <v>15.0</v>
      </c>
      <c r="B16" s="5" t="s">
        <v>55</v>
      </c>
      <c r="C16" s="5">
        <f>VLOOKUP(B16,Good!$A$1:$B$101,2,0)</f>
        <v>21</v>
      </c>
      <c r="D16" s="5">
        <v>1.0</v>
      </c>
      <c r="E16" s="7">
        <v>43496.61268518519</v>
      </c>
    </row>
    <row r="17">
      <c r="A17" s="5">
        <v>16.0</v>
      </c>
      <c r="B17" s="5" t="s">
        <v>59</v>
      </c>
      <c r="C17" s="5">
        <f>VLOOKUP(B17,Good!$A$1:$B$101,2,0)</f>
        <v>23</v>
      </c>
      <c r="D17" s="5">
        <v>3.0</v>
      </c>
      <c r="E17" s="7">
        <v>43553.778599537036</v>
      </c>
    </row>
    <row r="18">
      <c r="A18" s="5">
        <v>17.0</v>
      </c>
      <c r="B18" s="5" t="s">
        <v>111</v>
      </c>
      <c r="C18" s="5">
        <f>VLOOKUP(B18,Good!$A$1:$B$101,2,0)</f>
        <v>45</v>
      </c>
      <c r="D18" s="5">
        <v>1.0</v>
      </c>
      <c r="E18" s="7">
        <v>43695.604317129626</v>
      </c>
    </row>
    <row r="19">
      <c r="A19" s="5">
        <v>18.0</v>
      </c>
      <c r="B19" s="5" t="s">
        <v>109</v>
      </c>
      <c r="C19" s="5">
        <f>VLOOKUP(B19,Good!$A$1:$B$101,2,0)</f>
        <v>44</v>
      </c>
      <c r="D19" s="5">
        <v>2.0</v>
      </c>
      <c r="E19" s="7">
        <v>43604.362442129626</v>
      </c>
    </row>
    <row r="20">
      <c r="A20" s="5">
        <v>19.0</v>
      </c>
      <c r="B20" s="5" t="s">
        <v>129</v>
      </c>
      <c r="C20" s="5">
        <f>VLOOKUP(B20,Good!$A$1:$B$101,2,0)</f>
        <v>54</v>
      </c>
      <c r="D20" s="5">
        <v>2.0</v>
      </c>
      <c r="E20" s="7">
        <v>43554.799166666664</v>
      </c>
    </row>
    <row r="21" ht="15.75" customHeight="1">
      <c r="A21" s="5">
        <v>20.0</v>
      </c>
      <c r="B21" s="5" t="s">
        <v>214</v>
      </c>
      <c r="C21" s="5">
        <f>VLOOKUP(B21,Good!$A$1:$B$101,2,0)</f>
        <v>95</v>
      </c>
      <c r="D21" s="5">
        <v>1.0</v>
      </c>
      <c r="E21" s="7">
        <v>43618.61545138889</v>
      </c>
    </row>
    <row r="22" ht="15.75" customHeight="1">
      <c r="A22" s="5">
        <v>21.0</v>
      </c>
      <c r="B22" s="5" t="s">
        <v>53</v>
      </c>
      <c r="C22" s="5">
        <f>VLOOKUP(B22,Good!$A$1:$B$101,2,0)</f>
        <v>20</v>
      </c>
      <c r="D22" s="5">
        <v>3.0</v>
      </c>
      <c r="E22" s="7">
        <v>43651.350173611114</v>
      </c>
    </row>
    <row r="23" ht="15.75" customHeight="1">
      <c r="A23" s="5">
        <v>22.0</v>
      </c>
      <c r="B23" s="5" t="s">
        <v>67</v>
      </c>
      <c r="C23" s="5">
        <f>VLOOKUP(B23,Good!$A$1:$B$101,2,0)</f>
        <v>26</v>
      </c>
      <c r="D23" s="5">
        <v>2.0</v>
      </c>
      <c r="E23" s="7">
        <v>43706.68832175926</v>
      </c>
    </row>
    <row r="24" ht="15.75" customHeight="1">
      <c r="A24" s="5">
        <v>23.0</v>
      </c>
      <c r="B24" s="5" t="s">
        <v>94</v>
      </c>
      <c r="C24" s="5">
        <f>VLOOKUP(B24,Good!$A$1:$B$101,2,0)</f>
        <v>38</v>
      </c>
      <c r="D24" s="5">
        <v>3.0</v>
      </c>
      <c r="E24" s="7">
        <v>43530.470925925925</v>
      </c>
    </row>
    <row r="25" ht="15.75" customHeight="1">
      <c r="A25" s="5">
        <v>24.0</v>
      </c>
      <c r="B25" s="5" t="s">
        <v>206</v>
      </c>
      <c r="C25" s="5">
        <f>VLOOKUP(B25,Good!$A$1:$B$101,2,0)</f>
        <v>91</v>
      </c>
      <c r="D25" s="5">
        <v>3.0</v>
      </c>
      <c r="E25" s="7">
        <v>43558.52922453704</v>
      </c>
    </row>
    <row r="26" ht="15.75" customHeight="1">
      <c r="A26" s="5">
        <v>25.0</v>
      </c>
      <c r="B26" s="5" t="s">
        <v>161</v>
      </c>
      <c r="C26" s="5">
        <f>VLOOKUP(B26,Good!$A$1:$B$101,2,0)</f>
        <v>69</v>
      </c>
      <c r="D26" s="5">
        <v>2.0</v>
      </c>
      <c r="E26" s="7">
        <v>43517.56144675926</v>
      </c>
    </row>
    <row r="27" ht="15.75" customHeight="1">
      <c r="A27" s="5">
        <v>26.0</v>
      </c>
      <c r="B27" s="5" t="s">
        <v>175</v>
      </c>
      <c r="C27" s="5">
        <f>VLOOKUP(B27,Good!$A$1:$B$101,2,0)</f>
        <v>76</v>
      </c>
      <c r="D27" s="5">
        <v>1.0</v>
      </c>
      <c r="E27" s="7">
        <v>43711.711481481485</v>
      </c>
    </row>
    <row r="28" ht="15.75" customHeight="1">
      <c r="A28" s="5">
        <v>27.0</v>
      </c>
      <c r="B28" s="5" t="s">
        <v>163</v>
      </c>
      <c r="C28" s="5">
        <f>VLOOKUP(B28,Good!$A$1:$B$101,2,0)</f>
        <v>70</v>
      </c>
      <c r="D28" s="5">
        <v>2.0</v>
      </c>
      <c r="E28" s="7">
        <v>43734.51372685185</v>
      </c>
    </row>
    <row r="29" ht="15.75" customHeight="1">
      <c r="A29" s="5">
        <v>28.0</v>
      </c>
      <c r="B29" s="5" t="s">
        <v>161</v>
      </c>
      <c r="C29" s="5">
        <f>VLOOKUP(B29,Good!$A$1:$B$101,2,0)</f>
        <v>69</v>
      </c>
      <c r="D29" s="5">
        <v>3.0</v>
      </c>
      <c r="E29" s="7">
        <v>43729.537407407406</v>
      </c>
    </row>
    <row r="30" ht="15.75" customHeight="1">
      <c r="A30" s="5">
        <v>29.0</v>
      </c>
      <c r="B30" s="5" t="s">
        <v>41</v>
      </c>
      <c r="C30" s="5">
        <f>VLOOKUP(B30,Good!$A$1:$B$101,2,0)</f>
        <v>15</v>
      </c>
      <c r="D30" s="5">
        <v>1.0</v>
      </c>
      <c r="E30" s="7">
        <v>43469.34204861111</v>
      </c>
    </row>
    <row r="31" ht="15.75" customHeight="1">
      <c r="A31" s="5">
        <v>30.0</v>
      </c>
      <c r="B31" s="5" t="s">
        <v>127</v>
      </c>
      <c r="C31" s="5">
        <f>VLOOKUP(B31,Good!$A$1:$B$101,2,0)</f>
        <v>53</v>
      </c>
      <c r="D31" s="5">
        <v>2.0</v>
      </c>
      <c r="E31" s="7">
        <v>43806.356041666666</v>
      </c>
    </row>
    <row r="32" ht="15.75" customHeight="1">
      <c r="A32" s="5">
        <v>31.0</v>
      </c>
      <c r="B32" s="5" t="s">
        <v>139</v>
      </c>
      <c r="C32" s="5">
        <f>VLOOKUP(B32,Good!$A$1:$B$101,2,0)</f>
        <v>58</v>
      </c>
      <c r="D32" s="5">
        <v>2.0</v>
      </c>
      <c r="E32" s="7">
        <v>43636.454722222225</v>
      </c>
    </row>
    <row r="33" ht="15.75" customHeight="1">
      <c r="A33" s="5">
        <v>32.0</v>
      </c>
      <c r="B33" s="5" t="s">
        <v>87</v>
      </c>
      <c r="C33" s="5">
        <f>VLOOKUP(B33,Good!$A$1:$B$101,2,0)</f>
        <v>35</v>
      </c>
      <c r="D33" s="5">
        <v>1.0</v>
      </c>
      <c r="E33" s="7">
        <v>43523.35376157407</v>
      </c>
    </row>
    <row r="34" ht="15.75" customHeight="1">
      <c r="A34" s="5">
        <v>33.0</v>
      </c>
      <c r="B34" s="5" t="s">
        <v>187</v>
      </c>
      <c r="C34" s="5">
        <f>VLOOKUP(B34,Good!$A$1:$B$101,2,0)</f>
        <v>82</v>
      </c>
      <c r="D34" s="5">
        <v>3.0</v>
      </c>
      <c r="E34" s="7">
        <v>43526.80472222222</v>
      </c>
    </row>
    <row r="35" ht="15.75" customHeight="1">
      <c r="A35" s="5">
        <v>34.0</v>
      </c>
      <c r="B35" s="5" t="s">
        <v>141</v>
      </c>
      <c r="C35" s="5">
        <f>VLOOKUP(B35,Good!$A$1:$B$101,2,0)</f>
        <v>59</v>
      </c>
      <c r="D35" s="5">
        <v>1.0</v>
      </c>
      <c r="E35" s="7">
        <v>43656.69375</v>
      </c>
    </row>
    <row r="36" ht="15.75" customHeight="1">
      <c r="A36" s="5">
        <v>35.0</v>
      </c>
      <c r="B36" s="5" t="s">
        <v>153</v>
      </c>
      <c r="C36" s="5">
        <f>VLOOKUP(B36,Good!$A$1:$B$101,2,0)</f>
        <v>65</v>
      </c>
      <c r="D36" s="5">
        <v>3.0</v>
      </c>
      <c r="E36" s="7">
        <v>43770.82979166666</v>
      </c>
    </row>
    <row r="37" ht="15.75" customHeight="1">
      <c r="A37" s="5">
        <v>36.0</v>
      </c>
      <c r="B37" s="5" t="s">
        <v>87</v>
      </c>
      <c r="C37" s="5">
        <f>VLOOKUP(B37,Good!$A$1:$B$101,2,0)</f>
        <v>35</v>
      </c>
      <c r="D37" s="5">
        <v>2.0</v>
      </c>
      <c r="E37" s="7">
        <v>43703.69063657407</v>
      </c>
    </row>
    <row r="38" ht="15.75" customHeight="1">
      <c r="A38" s="5">
        <v>37.0</v>
      </c>
      <c r="B38" s="5" t="s">
        <v>169</v>
      </c>
      <c r="C38" s="5">
        <f>VLOOKUP(B38,Good!$A$1:$B$101,2,0)</f>
        <v>73</v>
      </c>
      <c r="D38" s="5">
        <v>3.0</v>
      </c>
      <c r="E38" s="7">
        <v>43683.541979166665</v>
      </c>
    </row>
    <row r="39" ht="15.75" customHeight="1">
      <c r="A39" s="5">
        <v>38.0</v>
      </c>
      <c r="B39" s="5" t="s">
        <v>64</v>
      </c>
      <c r="C39" s="5">
        <f>VLOOKUP(B39,Good!$A$1:$B$101,2,0)</f>
        <v>25</v>
      </c>
      <c r="D39" s="5">
        <v>2.0</v>
      </c>
      <c r="E39" s="7">
        <v>43792.67171296296</v>
      </c>
    </row>
    <row r="40" ht="15.75" customHeight="1">
      <c r="A40" s="5">
        <v>39.0</v>
      </c>
      <c r="B40" s="5" t="s">
        <v>139</v>
      </c>
      <c r="C40" s="5">
        <f>VLOOKUP(B40,Good!$A$1:$B$101,2,0)</f>
        <v>58</v>
      </c>
      <c r="D40" s="5">
        <v>1.0</v>
      </c>
      <c r="E40" s="7">
        <v>43753.59125</v>
      </c>
    </row>
    <row r="41" ht="15.75" customHeight="1">
      <c r="A41" s="5">
        <v>40.0</v>
      </c>
      <c r="B41" s="5" t="s">
        <v>53</v>
      </c>
      <c r="C41" s="5">
        <f>VLOOKUP(B41,Good!$A$1:$B$101,2,0)</f>
        <v>20</v>
      </c>
      <c r="D41" s="5">
        <v>3.0</v>
      </c>
      <c r="E41" s="7">
        <v>43526.64701388889</v>
      </c>
    </row>
    <row r="42" ht="15.75" customHeight="1">
      <c r="A42" s="5">
        <v>41.0</v>
      </c>
      <c r="B42" s="5" t="s">
        <v>222</v>
      </c>
      <c r="C42" s="5">
        <f>VLOOKUP(B42,Good!$A$1:$B$101,2,0)</f>
        <v>99</v>
      </c>
      <c r="D42" s="5">
        <v>3.0</v>
      </c>
      <c r="E42" s="7">
        <v>43506.586168981485</v>
      </c>
    </row>
    <row r="43" ht="15.75" customHeight="1">
      <c r="A43" s="5">
        <v>42.0</v>
      </c>
      <c r="B43" s="5" t="s">
        <v>218</v>
      </c>
      <c r="C43" s="5">
        <f>VLOOKUP(B43,Good!$A$1:$B$101,2,0)</f>
        <v>97</v>
      </c>
      <c r="D43" s="5">
        <v>1.0</v>
      </c>
      <c r="E43" s="7">
        <v>43798.654444444444</v>
      </c>
    </row>
    <row r="44" ht="15.75" customHeight="1">
      <c r="A44" s="5">
        <v>43.0</v>
      </c>
      <c r="B44" s="5" t="s">
        <v>45</v>
      </c>
      <c r="C44" s="5">
        <f>VLOOKUP(B44,Good!$A$1:$B$101,2,0)</f>
        <v>17</v>
      </c>
      <c r="D44" s="5">
        <v>1.0</v>
      </c>
      <c r="E44" s="7">
        <v>43669.60011574074</v>
      </c>
    </row>
    <row r="45" ht="15.75" customHeight="1">
      <c r="A45" s="5">
        <v>44.0</v>
      </c>
      <c r="B45" s="5" t="s">
        <v>64</v>
      </c>
      <c r="C45" s="5">
        <f>VLOOKUP(B45,Good!$A$1:$B$101,2,0)</f>
        <v>25</v>
      </c>
      <c r="D45" s="5">
        <v>2.0</v>
      </c>
      <c r="E45" s="7">
        <v>43807.72292824074</v>
      </c>
    </row>
    <row r="46" ht="15.75" customHeight="1">
      <c r="A46" s="5">
        <v>45.0</v>
      </c>
      <c r="B46" s="5" t="s">
        <v>218</v>
      </c>
      <c r="C46" s="5">
        <f>VLOOKUP(B46,Good!$A$1:$B$101,2,0)</f>
        <v>97</v>
      </c>
      <c r="D46" s="5">
        <v>1.0</v>
      </c>
      <c r="E46" s="7">
        <v>43564.67109953704</v>
      </c>
    </row>
    <row r="47" ht="15.75" customHeight="1">
      <c r="A47" s="5">
        <v>46.0</v>
      </c>
      <c r="B47" s="5" t="s">
        <v>195</v>
      </c>
      <c r="C47" s="5">
        <f>VLOOKUP(B47,Good!$A$1:$B$101,2,0)</f>
        <v>86</v>
      </c>
      <c r="D47" s="5">
        <v>2.0</v>
      </c>
      <c r="E47" s="7">
        <v>43518.37155092593</v>
      </c>
    </row>
    <row r="48" ht="15.75" customHeight="1">
      <c r="A48" s="5">
        <v>47.0</v>
      </c>
      <c r="B48" s="5" t="s">
        <v>175</v>
      </c>
      <c r="C48" s="5">
        <f>VLOOKUP(B48,Good!$A$1:$B$101,2,0)</f>
        <v>76</v>
      </c>
      <c r="D48" s="5">
        <v>2.0</v>
      </c>
      <c r="E48" s="7">
        <v>43694.484375</v>
      </c>
    </row>
    <row r="49" ht="15.75" customHeight="1">
      <c r="A49" s="5">
        <v>48.0</v>
      </c>
      <c r="B49" s="5" t="s">
        <v>208</v>
      </c>
      <c r="C49" s="5">
        <f>VLOOKUP(B49,Good!$A$1:$B$101,2,0)</f>
        <v>92</v>
      </c>
      <c r="D49" s="5">
        <v>3.0</v>
      </c>
      <c r="E49" s="7">
        <v>43535.53428240741</v>
      </c>
    </row>
    <row r="50" ht="15.75" customHeight="1">
      <c r="A50" s="5">
        <v>49.0</v>
      </c>
      <c r="B50" s="5" t="s">
        <v>43</v>
      </c>
      <c r="C50" s="5">
        <f>VLOOKUP(B50,Good!$A$1:$B$101,2,0)</f>
        <v>16</v>
      </c>
      <c r="D50" s="5">
        <v>1.0</v>
      </c>
      <c r="E50" s="7">
        <v>43543.45668981481</v>
      </c>
    </row>
    <row r="51" ht="15.75" customHeight="1">
      <c r="A51" s="5">
        <v>50.0</v>
      </c>
      <c r="B51" s="5" t="s">
        <v>79</v>
      </c>
      <c r="C51" s="5">
        <f>VLOOKUP(B51,Good!$A$1:$B$101,2,0)</f>
        <v>31</v>
      </c>
      <c r="D51" s="5">
        <v>1.0</v>
      </c>
      <c r="E51" s="7">
        <v>43755.71328703704</v>
      </c>
    </row>
    <row r="52" ht="15.75" customHeight="1">
      <c r="A52" s="5">
        <v>51.0</v>
      </c>
      <c r="B52" s="5" t="s">
        <v>201</v>
      </c>
      <c r="C52" s="5">
        <f>VLOOKUP(B52,Good!$A$1:$B$101,2,0)</f>
        <v>89</v>
      </c>
      <c r="D52" s="5">
        <v>2.0</v>
      </c>
      <c r="E52" s="7">
        <v>43795.54320601852</v>
      </c>
    </row>
    <row r="53" ht="15.75" customHeight="1">
      <c r="A53" s="5">
        <v>52.0</v>
      </c>
      <c r="B53" s="5" t="s">
        <v>48</v>
      </c>
      <c r="C53" s="5">
        <f>VLOOKUP(B53,Good!$A$1:$B$101,2,0)</f>
        <v>18</v>
      </c>
      <c r="D53" s="5">
        <v>3.0</v>
      </c>
      <c r="E53" s="7">
        <v>43512.40599537037</v>
      </c>
    </row>
    <row r="54" ht="15.75" customHeight="1">
      <c r="A54" s="5">
        <v>53.0</v>
      </c>
      <c r="B54" s="5" t="s">
        <v>53</v>
      </c>
      <c r="C54" s="5">
        <f>VLOOKUP(B54,Good!$A$1:$B$101,2,0)</f>
        <v>20</v>
      </c>
      <c r="D54" s="5">
        <v>3.0</v>
      </c>
      <c r="E54" s="7">
        <v>43830.721967592595</v>
      </c>
    </row>
    <row r="55" ht="15.75" customHeight="1">
      <c r="A55" s="5">
        <v>54.0</v>
      </c>
      <c r="B55" s="5" t="s">
        <v>10</v>
      </c>
      <c r="C55" s="5">
        <f>VLOOKUP(B55,Good!$A$1:$B$101,2,0)</f>
        <v>2</v>
      </c>
      <c r="D55" s="5">
        <v>1.0</v>
      </c>
      <c r="E55" s="7">
        <v>43788.481944444444</v>
      </c>
    </row>
    <row r="56" ht="15.75" customHeight="1">
      <c r="A56" s="5">
        <v>55.0</v>
      </c>
      <c r="B56" s="5" t="s">
        <v>117</v>
      </c>
      <c r="C56" s="5">
        <f>VLOOKUP(B56,Good!$A$1:$B$101,2,0)</f>
        <v>48</v>
      </c>
      <c r="D56" s="5">
        <v>1.0</v>
      </c>
      <c r="E56" s="7">
        <v>43721.70496527778</v>
      </c>
    </row>
    <row r="57" ht="15.75" customHeight="1">
      <c r="A57" s="5">
        <v>56.0</v>
      </c>
      <c r="B57" s="5" t="s">
        <v>167</v>
      </c>
      <c r="C57" s="5">
        <f>VLOOKUP(B57,Good!$A$1:$B$101,2,0)</f>
        <v>72</v>
      </c>
      <c r="D57" s="5">
        <v>2.0</v>
      </c>
      <c r="E57" s="7">
        <v>43813.440567129626</v>
      </c>
    </row>
    <row r="58" ht="15.75" customHeight="1">
      <c r="A58" s="5">
        <v>57.0</v>
      </c>
      <c r="B58" s="5" t="s">
        <v>139</v>
      </c>
      <c r="C58" s="5">
        <f>VLOOKUP(B58,Good!$A$1:$B$101,2,0)</f>
        <v>58</v>
      </c>
      <c r="D58" s="5">
        <v>1.0</v>
      </c>
      <c r="E58" s="7">
        <v>43605.74275462963</v>
      </c>
    </row>
    <row r="59" ht="15.75" customHeight="1">
      <c r="A59" s="5">
        <v>58.0</v>
      </c>
      <c r="B59" s="5" t="s">
        <v>224</v>
      </c>
      <c r="C59" s="5">
        <f>VLOOKUP(B59,Good!$A$1:$B$101,2,0)</f>
        <v>100</v>
      </c>
      <c r="D59" s="5">
        <v>2.0</v>
      </c>
      <c r="E59" s="7">
        <v>43550.615266203706</v>
      </c>
    </row>
    <row r="60" ht="15.75" customHeight="1">
      <c r="A60" s="5">
        <v>59.0</v>
      </c>
      <c r="B60" s="5" t="s">
        <v>137</v>
      </c>
      <c r="C60" s="5">
        <f>VLOOKUP(B60,Good!$A$1:$B$101,2,0)</f>
        <v>57</v>
      </c>
      <c r="D60" s="5">
        <v>2.0</v>
      </c>
      <c r="E60" s="7">
        <v>43722.82275462963</v>
      </c>
    </row>
    <row r="61" ht="15.75" customHeight="1">
      <c r="A61" s="5">
        <v>60.0</v>
      </c>
      <c r="B61" s="5" t="s">
        <v>173</v>
      </c>
      <c r="C61" s="5">
        <f>VLOOKUP(B61,Good!$A$1:$B$101,2,0)</f>
        <v>75</v>
      </c>
      <c r="D61" s="5">
        <v>1.0</v>
      </c>
      <c r="E61" s="7">
        <v>43714.433969907404</v>
      </c>
    </row>
    <row r="62" ht="15.75" customHeight="1">
      <c r="A62" s="5">
        <v>61.0</v>
      </c>
      <c r="B62" s="5" t="s">
        <v>145</v>
      </c>
      <c r="C62" s="5">
        <f>VLOOKUP(B62,Good!$A$1:$B$101,2,0)</f>
        <v>61</v>
      </c>
      <c r="D62" s="5">
        <v>3.0</v>
      </c>
      <c r="E62" s="7">
        <v>43594.564837962964</v>
      </c>
    </row>
    <row r="63" ht="15.75" customHeight="1">
      <c r="A63" s="5">
        <v>62.0</v>
      </c>
      <c r="B63" s="5" t="s">
        <v>210</v>
      </c>
      <c r="C63" s="5">
        <f>VLOOKUP(B63,Good!$A$1:$B$101,2,0)</f>
        <v>93</v>
      </c>
      <c r="D63" s="5">
        <v>2.0</v>
      </c>
      <c r="E63" s="7">
        <v>43530.569398148145</v>
      </c>
    </row>
    <row r="64" ht="15.75" customHeight="1">
      <c r="A64" s="5">
        <v>63.0</v>
      </c>
      <c r="B64" s="5" t="s">
        <v>45</v>
      </c>
      <c r="C64" s="5">
        <f>VLOOKUP(B64,Good!$A$1:$B$101,2,0)</f>
        <v>17</v>
      </c>
      <c r="D64" s="5">
        <v>1.0</v>
      </c>
      <c r="E64" s="7">
        <v>43553.36133101852</v>
      </c>
    </row>
    <row r="65" ht="15.75" customHeight="1">
      <c r="A65" s="5">
        <v>64.0</v>
      </c>
      <c r="B65" s="5" t="s">
        <v>107</v>
      </c>
      <c r="C65" s="5">
        <f>VLOOKUP(B65,Good!$A$1:$B$101,2,0)</f>
        <v>43</v>
      </c>
      <c r="D65" s="5">
        <v>2.0</v>
      </c>
      <c r="E65" s="7">
        <v>43671.79178240741</v>
      </c>
    </row>
    <row r="66" ht="15.75" customHeight="1">
      <c r="A66" s="5">
        <v>65.0</v>
      </c>
      <c r="B66" s="5" t="s">
        <v>12</v>
      </c>
      <c r="C66" s="5">
        <f>VLOOKUP(B66,Good!$A$1:$B$101,2,0)</f>
        <v>3</v>
      </c>
      <c r="D66" s="5">
        <v>3.0</v>
      </c>
      <c r="E66" s="7">
        <v>43751.4146875</v>
      </c>
    </row>
    <row r="67" ht="15.75" customHeight="1">
      <c r="A67" s="5">
        <v>66.0</v>
      </c>
      <c r="B67" s="5" t="s">
        <v>173</v>
      </c>
      <c r="C67" s="5">
        <f>VLOOKUP(B67,Good!$A$1:$B$101,2,0)</f>
        <v>75</v>
      </c>
      <c r="D67" s="5">
        <v>3.0</v>
      </c>
      <c r="E67" s="7">
        <v>43471.45212962963</v>
      </c>
    </row>
    <row r="68" ht="15.75" customHeight="1">
      <c r="A68" s="5">
        <v>67.0</v>
      </c>
      <c r="B68" s="5" t="s">
        <v>10</v>
      </c>
      <c r="C68" s="5">
        <f>VLOOKUP(B68,Good!$A$1:$B$101,2,0)</f>
        <v>2</v>
      </c>
      <c r="D68" s="5">
        <v>1.0</v>
      </c>
      <c r="E68" s="7">
        <v>43565.5865162037</v>
      </c>
    </row>
    <row r="69" ht="15.75" customHeight="1">
      <c r="A69" s="5">
        <v>68.0</v>
      </c>
      <c r="B69" s="5" t="s">
        <v>189</v>
      </c>
      <c r="C69" s="5">
        <f>VLOOKUP(B69,Good!$A$1:$B$101,2,0)</f>
        <v>83</v>
      </c>
      <c r="D69" s="5">
        <v>1.0</v>
      </c>
      <c r="E69" s="7">
        <v>43598.71780092592</v>
      </c>
    </row>
    <row r="70" ht="15.75" customHeight="1">
      <c r="A70" s="5">
        <v>69.0</v>
      </c>
      <c r="B70" s="5" t="s">
        <v>169</v>
      </c>
      <c r="C70" s="5">
        <f>VLOOKUP(B70,Good!$A$1:$B$101,2,0)</f>
        <v>73</v>
      </c>
      <c r="D70" s="5">
        <v>1.0</v>
      </c>
      <c r="E70" s="7">
        <v>43671.67101851852</v>
      </c>
    </row>
    <row r="71" ht="15.75" customHeight="1">
      <c r="A71" s="5">
        <v>70.0</v>
      </c>
      <c r="B71" s="5" t="s">
        <v>139</v>
      </c>
      <c r="C71" s="5">
        <f>VLOOKUP(B71,Good!$A$1:$B$101,2,0)</f>
        <v>58</v>
      </c>
      <c r="D71" s="5">
        <v>2.0</v>
      </c>
      <c r="E71" s="7">
        <v>43542.71079861111</v>
      </c>
    </row>
    <row r="72" ht="15.75" customHeight="1">
      <c r="A72" s="5">
        <v>71.0</v>
      </c>
      <c r="B72" s="5" t="s">
        <v>55</v>
      </c>
      <c r="C72" s="5">
        <f>VLOOKUP(B72,Good!$A$1:$B$101,2,0)</f>
        <v>21</v>
      </c>
      <c r="D72" s="5">
        <v>3.0</v>
      </c>
      <c r="E72" s="7">
        <v>43470.577002314814</v>
      </c>
    </row>
    <row r="73" ht="15.75" customHeight="1">
      <c r="A73" s="5">
        <v>72.0</v>
      </c>
      <c r="B73" s="5" t="s">
        <v>45</v>
      </c>
      <c r="C73" s="5">
        <f>VLOOKUP(B73,Good!$A$1:$B$101,2,0)</f>
        <v>17</v>
      </c>
      <c r="D73" s="5">
        <v>2.0</v>
      </c>
      <c r="E73" s="7">
        <v>43549.777025462965</v>
      </c>
    </row>
    <row r="74" ht="15.75" customHeight="1">
      <c r="A74" s="5">
        <v>73.0</v>
      </c>
      <c r="B74" s="5" t="s">
        <v>19</v>
      </c>
      <c r="C74" s="5">
        <f>VLOOKUP(B74,Good!$A$1:$B$101,2,0)</f>
        <v>6</v>
      </c>
      <c r="D74" s="5">
        <v>3.0</v>
      </c>
      <c r="E74" s="7">
        <v>43690.76422453704</v>
      </c>
    </row>
    <row r="75" ht="15.75" customHeight="1">
      <c r="A75" s="5">
        <v>74.0</v>
      </c>
      <c r="B75" s="5" t="s">
        <v>147</v>
      </c>
      <c r="C75" s="5">
        <f>VLOOKUP(B75,Good!$A$1:$B$101,2,0)</f>
        <v>62</v>
      </c>
      <c r="D75" s="5">
        <v>2.0</v>
      </c>
      <c r="E75" s="7">
        <v>43549.45326388889</v>
      </c>
    </row>
    <row r="76" ht="15.75" customHeight="1">
      <c r="A76" s="5">
        <v>75.0</v>
      </c>
      <c r="B76" s="5" t="s">
        <v>111</v>
      </c>
      <c r="C76" s="5">
        <f>VLOOKUP(B76,Good!$A$1:$B$101,2,0)</f>
        <v>45</v>
      </c>
      <c r="D76" s="5">
        <v>2.0</v>
      </c>
      <c r="E76" s="7">
        <v>43514.361608796295</v>
      </c>
    </row>
    <row r="77" ht="15.75" customHeight="1">
      <c r="A77" s="5">
        <v>76.0</v>
      </c>
      <c r="B77" s="5" t="s">
        <v>117</v>
      </c>
      <c r="C77" s="5">
        <f>VLOOKUP(B77,Good!$A$1:$B$101,2,0)</f>
        <v>48</v>
      </c>
      <c r="D77" s="5">
        <v>3.0</v>
      </c>
      <c r="E77" s="7">
        <v>43524.80510416667</v>
      </c>
    </row>
    <row r="78" ht="15.75" customHeight="1">
      <c r="A78" s="5">
        <v>77.0</v>
      </c>
      <c r="B78" s="5" t="s">
        <v>153</v>
      </c>
      <c r="C78" s="5">
        <f>VLOOKUP(B78,Good!$A$1:$B$101,2,0)</f>
        <v>65</v>
      </c>
      <c r="D78" s="5">
        <v>1.0</v>
      </c>
      <c r="E78" s="7">
        <v>43644.65474537037</v>
      </c>
    </row>
    <row r="79" ht="15.75" customHeight="1">
      <c r="A79" s="5">
        <v>78.0</v>
      </c>
      <c r="B79" s="5" t="s">
        <v>59</v>
      </c>
      <c r="C79" s="5">
        <f>VLOOKUP(B79,Good!$A$1:$B$101,2,0)</f>
        <v>23</v>
      </c>
      <c r="D79" s="5">
        <v>3.0</v>
      </c>
      <c r="E79" s="7">
        <v>43773.771828703706</v>
      </c>
    </row>
    <row r="80" ht="15.75" customHeight="1">
      <c r="A80" s="5">
        <v>79.0</v>
      </c>
      <c r="B80" s="5" t="s">
        <v>181</v>
      </c>
      <c r="C80" s="5">
        <f>VLOOKUP(B80,Good!$A$1:$B$101,2,0)</f>
        <v>79</v>
      </c>
      <c r="D80" s="5">
        <v>2.0</v>
      </c>
      <c r="E80" s="7">
        <v>43778.6216087963</v>
      </c>
    </row>
    <row r="81" ht="15.75" customHeight="1">
      <c r="A81" s="5">
        <v>80.0</v>
      </c>
      <c r="B81" s="5" t="s">
        <v>127</v>
      </c>
      <c r="C81" s="5">
        <f>VLOOKUP(B81,Good!$A$1:$B$101,2,0)</f>
        <v>53</v>
      </c>
      <c r="D81" s="5">
        <v>2.0</v>
      </c>
      <c r="E81" s="7">
        <v>43602.40818287037</v>
      </c>
    </row>
    <row r="82" ht="15.75" customHeight="1">
      <c r="A82" s="5">
        <v>81.0</v>
      </c>
      <c r="B82" s="5" t="s">
        <v>171</v>
      </c>
      <c r="C82" s="5">
        <f>VLOOKUP(B82,Good!$A$1:$B$101,2,0)</f>
        <v>74</v>
      </c>
      <c r="D82" s="5">
        <v>2.0</v>
      </c>
      <c r="E82" s="7">
        <v>43614.64923611111</v>
      </c>
    </row>
    <row r="83" ht="15.75" customHeight="1">
      <c r="A83" s="5">
        <v>82.0</v>
      </c>
      <c r="B83" s="5" t="s">
        <v>67</v>
      </c>
      <c r="C83" s="5">
        <f>VLOOKUP(B83,Good!$A$1:$B$101,2,0)</f>
        <v>26</v>
      </c>
      <c r="D83" s="5">
        <v>1.0</v>
      </c>
      <c r="E83" s="7">
        <v>43566.72751157408</v>
      </c>
    </row>
    <row r="84" ht="15.75" customHeight="1">
      <c r="A84" s="5">
        <v>83.0</v>
      </c>
      <c r="B84" s="5" t="s">
        <v>161</v>
      </c>
      <c r="C84" s="5">
        <f>VLOOKUP(B84,Good!$A$1:$B$101,2,0)</f>
        <v>69</v>
      </c>
      <c r="D84" s="5">
        <v>1.0</v>
      </c>
      <c r="E84" s="7">
        <v>43570.49327546296</v>
      </c>
    </row>
    <row r="85" ht="15.75" customHeight="1">
      <c r="A85" s="5">
        <v>84.0</v>
      </c>
      <c r="B85" s="5" t="s">
        <v>191</v>
      </c>
      <c r="C85" s="5">
        <f>VLOOKUP(B85,Good!$A$1:$B$101,2,0)</f>
        <v>84</v>
      </c>
      <c r="D85" s="5">
        <v>1.0</v>
      </c>
      <c r="E85" s="7">
        <v>43803.36555555555</v>
      </c>
    </row>
    <row r="86" ht="15.75" customHeight="1">
      <c r="A86" s="5">
        <v>85.0</v>
      </c>
      <c r="B86" s="5" t="s">
        <v>143</v>
      </c>
      <c r="C86" s="5">
        <f>VLOOKUP(B86,Good!$A$1:$B$101,2,0)</f>
        <v>60</v>
      </c>
      <c r="D86" s="5">
        <v>2.0</v>
      </c>
      <c r="E86" s="7">
        <v>43500.412210648145</v>
      </c>
    </row>
    <row r="87" ht="15.75" customHeight="1">
      <c r="A87" s="5">
        <v>86.0</v>
      </c>
      <c r="B87" s="5" t="s">
        <v>10</v>
      </c>
      <c r="C87" s="5">
        <f>VLOOKUP(B87,Good!$A$1:$B$101,2,0)</f>
        <v>2</v>
      </c>
      <c r="D87" s="5">
        <v>3.0</v>
      </c>
      <c r="E87" s="7">
        <v>43531.66422453704</v>
      </c>
    </row>
    <row r="88" ht="15.75" customHeight="1">
      <c r="A88" s="5">
        <v>87.0</v>
      </c>
      <c r="B88" s="5" t="s">
        <v>157</v>
      </c>
      <c r="C88" s="5">
        <f>VLOOKUP(B88,Good!$A$1:$B$101,2,0)</f>
        <v>67</v>
      </c>
      <c r="D88" s="5">
        <v>1.0</v>
      </c>
      <c r="E88" s="7">
        <v>43528.66780092593</v>
      </c>
    </row>
    <row r="89" ht="15.75" customHeight="1">
      <c r="A89" s="5">
        <v>88.0</v>
      </c>
      <c r="B89" s="5" t="s">
        <v>45</v>
      </c>
      <c r="C89" s="5">
        <f>VLOOKUP(B89,Good!$A$1:$B$101,2,0)</f>
        <v>17</v>
      </c>
      <c r="D89" s="5">
        <v>1.0</v>
      </c>
      <c r="E89" s="7">
        <v>43739.706782407404</v>
      </c>
    </row>
    <row r="90" ht="15.75" customHeight="1">
      <c r="A90" s="5">
        <v>89.0</v>
      </c>
      <c r="B90" s="5" t="s">
        <v>167</v>
      </c>
      <c r="C90" s="5">
        <f>VLOOKUP(B90,Good!$A$1:$B$101,2,0)</f>
        <v>72</v>
      </c>
      <c r="D90" s="5">
        <v>1.0</v>
      </c>
      <c r="E90" s="7">
        <v>43608.431226851855</v>
      </c>
    </row>
    <row r="91" ht="15.75" customHeight="1">
      <c r="A91" s="5">
        <v>90.0</v>
      </c>
      <c r="B91" s="5" t="s">
        <v>214</v>
      </c>
      <c r="C91" s="5">
        <f>VLOOKUP(B91,Good!$A$1:$B$101,2,0)</f>
        <v>95</v>
      </c>
      <c r="D91" s="5">
        <v>1.0</v>
      </c>
      <c r="E91" s="7">
        <v>43626.44232638889</v>
      </c>
    </row>
    <row r="92" ht="15.75" customHeight="1">
      <c r="A92" s="5">
        <v>91.0</v>
      </c>
      <c r="B92" s="5" t="s">
        <v>121</v>
      </c>
      <c r="C92" s="5">
        <f>VLOOKUP(B92,Good!$A$1:$B$101,2,0)</f>
        <v>50</v>
      </c>
      <c r="D92" s="5">
        <v>2.0</v>
      </c>
      <c r="E92" s="7">
        <v>43579.38658564815</v>
      </c>
    </row>
    <row r="93" ht="15.75" customHeight="1">
      <c r="A93" s="5">
        <v>92.0</v>
      </c>
      <c r="B93" s="5" t="s">
        <v>183</v>
      </c>
      <c r="C93" s="5">
        <f>VLOOKUP(B93,Good!$A$1:$B$101,2,0)</f>
        <v>80</v>
      </c>
      <c r="D93" s="5">
        <v>2.0</v>
      </c>
      <c r="E93" s="7">
        <v>43533.61863425926</v>
      </c>
    </row>
    <row r="94" ht="15.75" customHeight="1">
      <c r="A94" s="5">
        <v>93.0</v>
      </c>
      <c r="B94" s="5" t="s">
        <v>210</v>
      </c>
      <c r="C94" s="5">
        <f>VLOOKUP(B94,Good!$A$1:$B$101,2,0)</f>
        <v>93</v>
      </c>
      <c r="D94" s="5">
        <v>1.0</v>
      </c>
      <c r="E94" s="7">
        <v>43625.82289351852</v>
      </c>
    </row>
    <row r="95" ht="15.75" customHeight="1">
      <c r="A95" s="5">
        <v>94.0</v>
      </c>
      <c r="B95" s="5" t="s">
        <v>92</v>
      </c>
      <c r="C95" s="5">
        <f>VLOOKUP(B95,Good!$A$1:$B$101,2,0)</f>
        <v>37</v>
      </c>
      <c r="D95" s="5">
        <v>3.0</v>
      </c>
      <c r="E95" s="7">
        <v>43747.40814814815</v>
      </c>
    </row>
    <row r="96" ht="15.75" customHeight="1">
      <c r="A96" s="5">
        <v>95.0</v>
      </c>
      <c r="B96" s="5" t="s">
        <v>191</v>
      </c>
      <c r="C96" s="5">
        <f>VLOOKUP(B96,Good!$A$1:$B$101,2,0)</f>
        <v>84</v>
      </c>
      <c r="D96" s="5">
        <v>3.0</v>
      </c>
      <c r="E96" s="7">
        <v>43675.347650462965</v>
      </c>
    </row>
    <row r="97" ht="15.75" customHeight="1">
      <c r="A97" s="5">
        <v>96.0</v>
      </c>
      <c r="B97" s="5" t="s">
        <v>85</v>
      </c>
      <c r="C97" s="5">
        <f>VLOOKUP(B97,Good!$A$1:$B$101,2,0)</f>
        <v>34</v>
      </c>
      <c r="D97" s="5">
        <v>2.0</v>
      </c>
      <c r="E97" s="7">
        <v>43815.478541666664</v>
      </c>
    </row>
    <row r="98" ht="15.75" customHeight="1">
      <c r="A98" s="5">
        <v>97.0</v>
      </c>
      <c r="B98" s="5" t="s">
        <v>121</v>
      </c>
      <c r="C98" s="5">
        <f>VLOOKUP(B98,Good!$A$1:$B$101,2,0)</f>
        <v>50</v>
      </c>
      <c r="D98" s="5">
        <v>2.0</v>
      </c>
      <c r="E98" s="7">
        <v>43705.456296296295</v>
      </c>
    </row>
    <row r="99" ht="15.75" customHeight="1">
      <c r="A99" s="5">
        <v>98.0</v>
      </c>
      <c r="B99" s="5" t="s">
        <v>151</v>
      </c>
      <c r="C99" s="5">
        <f>VLOOKUP(B99,Good!$A$1:$B$101,2,0)</f>
        <v>64</v>
      </c>
      <c r="D99" s="5">
        <v>2.0</v>
      </c>
      <c r="E99" s="7">
        <v>43617.43305555556</v>
      </c>
    </row>
    <row r="100" ht="15.75" customHeight="1">
      <c r="A100" s="5">
        <v>99.0</v>
      </c>
      <c r="B100" s="5" t="s">
        <v>92</v>
      </c>
      <c r="C100" s="5">
        <f>VLOOKUP(B100,Good!$A$1:$B$101,2,0)</f>
        <v>37</v>
      </c>
      <c r="D100" s="5">
        <v>1.0</v>
      </c>
      <c r="E100" s="7">
        <v>43500.82502314815</v>
      </c>
    </row>
    <row r="101" ht="15.75" customHeight="1">
      <c r="A101" s="5">
        <v>100.0</v>
      </c>
      <c r="B101" s="5" t="s">
        <v>175</v>
      </c>
      <c r="C101" s="5">
        <f>VLOOKUP(B101,Good!$A$1:$B$101,2,0)</f>
        <v>76</v>
      </c>
      <c r="D101" s="5">
        <v>1.0</v>
      </c>
      <c r="E101" s="7">
        <v>43751.65248842593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